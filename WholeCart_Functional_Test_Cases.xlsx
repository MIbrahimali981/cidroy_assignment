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Overall Summary" sheetId="1" r:id="rId1"/>
    <sheet name="Functional Test Cases" sheetId="2" r:id="rId2"/>
    <sheet name="Bugs" sheetId="3" r:id="rId3"/>
    <sheet name="Suggessions" sheetId="4" r:id="rId4"/>
    <sheet name="Observation" sheetId="5" r:id="rId5"/>
  </sheets>
  <definedNames>
    <definedName name="_xlnm._FilterDatabase" localSheetId="1" hidden="1">'Functional Test Cases'!$A$1:$O$77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<sst xmlns="http://schemas.openxmlformats.org/spreadsheetml/2006/main" count="1505" uniqueCount="761">
  <si>
    <t>WHOLECART — OVERALL TEST EXECUTION SUMMARY</t>
  </si>
  <si>
    <t>Live summary based on the Status values in the Functional Test Cases sheet.</t>
  </si>
  <si>
    <t>Overall Execution Status</t>
  </si>
  <si>
    <t>Metric</t>
  </si>
  <si>
    <t>Count</t>
  </si>
  <si>
    <t>Percentage</t>
  </si>
  <si>
    <t>Total Test Cases</t>
  </si>
  <si>
    <t>Passed</t>
  </si>
  <si>
    <t>Failed</t>
  </si>
  <si>
    <t>Not Run</t>
  </si>
  <si>
    <t>Blocked</t>
  </si>
  <si>
    <t>Other / Blank Status</t>
  </si>
  <si>
    <t>Executed (Pass + Fail)</t>
  </si>
  <si>
    <t>Pass Rate of Executed</t>
  </si>
  <si>
    <t>Module-wise Test Case Summary</t>
  </si>
  <si>
    <t>Priority-wise Summary</t>
  </si>
  <si>
    <t>Module</t>
  </si>
  <si>
    <t>Total</t>
  </si>
  <si>
    <t>Pass</t>
  </si>
  <si>
    <t>Fail</t>
  </si>
  <si>
    <t>Pass Rate (Executed)</t>
  </si>
  <si>
    <t>Priority</t>
  </si>
  <si>
    <t>Authentication</t>
  </si>
  <si>
    <t>Critical</t>
  </si>
  <si>
    <t>Cancellation</t>
  </si>
  <si>
    <t>High</t>
  </si>
  <si>
    <t>Cart</t>
  </si>
  <si>
    <t>Low</t>
  </si>
  <si>
    <t>Catalogue/Search</t>
  </si>
  <si>
    <t>Medium</t>
  </si>
  <si>
    <t>Checkout</t>
  </si>
  <si>
    <t>Delivery Slot Change</t>
  </si>
  <si>
    <t>Exchanges</t>
  </si>
  <si>
    <t>Bug Status Summary</t>
  </si>
  <si>
    <t>Invoice</t>
  </si>
  <si>
    <t>Bug Status</t>
  </si>
  <si>
    <t>Order History</t>
  </si>
  <si>
    <t>Open</t>
  </si>
  <si>
    <t>Order Lifecycle</t>
  </si>
  <si>
    <t>Redelivery</t>
  </si>
  <si>
    <t>Refunds</t>
  </si>
  <si>
    <t>Reorder</t>
  </si>
  <si>
    <t>Statements</t>
  </si>
  <si>
    <t>Test Case ID</t>
  </si>
  <si>
    <t>User Type</t>
  </si>
  <si>
    <t>Test Case Title</t>
  </si>
  <si>
    <t>Test Case Description</t>
  </si>
  <si>
    <t>Preconditions</t>
  </si>
  <si>
    <t>Test Steps</t>
  </si>
  <si>
    <t>Test Data</t>
  </si>
  <si>
    <t>Expected Result</t>
  </si>
  <si>
    <t>Actual Result</t>
  </si>
  <si>
    <t>Test Case Type</t>
  </si>
  <si>
    <t>Application Environment</t>
  </si>
  <si>
    <t>Status</t>
  </si>
  <si>
    <t>Bug ID</t>
  </si>
  <si>
    <t>WC-TC-0001</t>
  </si>
  <si>
    <t>Buyer/Seller/Operator</t>
  </si>
  <si>
    <t>Login with valid credentials</t>
  </si>
  <si>
    <t>Verify each role can authenticate using a valid account.</t>
  </si>
  <si>
    <t>Application is available; test accounts exist.</t>
  </si>
  <si>
    <t>1. Open login page.
2. Enter valid username and password.
3. Click Log in.</t>
  </si>
  <si>
    <t>buyer1 / Test@123; seller1 / Test@123; operator / Test@123</t>
  </si>
  <si>
    <t>Login succeeds and the user is directed to the appropriate role landing page.</t>
  </si>
  <si>
    <t>Logged in as expected</t>
  </si>
  <si>
    <t>Smoke</t>
  </si>
  <si>
    <t>QA / Test Environment</t>
  </si>
  <si>
    <t>PASS</t>
  </si>
  <si>
    <t/>
  </si>
  <si>
    <t>WC-TC-0002</t>
  </si>
  <si>
    <t>Login without credentials</t>
  </si>
  <si>
    <t>Verify the login is rejected when there is no value in the username/password</t>
  </si>
  <si>
    <t>1. Open login page.
2. Click Log in.</t>
  </si>
  <si>
    <t>Login should be rejected, Toast message should be displayed as username/password should not be empty</t>
  </si>
  <si>
    <t>It is displaying the API response value in the browser that the username/password value is null</t>
  </si>
  <si>
    <t>Negative</t>
  </si>
  <si>
    <t>FAIL</t>
  </si>
  <si>
    <t>Bug-02</t>
  </si>
  <si>
    <t>WC-TC-0003</t>
  </si>
  <si>
    <t>Reject invalid password</t>
  </si>
  <si>
    <t>Verify login is rejected when password is incorrect.</t>
  </si>
  <si>
    <t>User account exists.</t>
  </si>
  <si>
    <t>1. Open login page.
2. Enter valid username and incorrect password.
3. Submit.</t>
  </si>
  <si>
    <t>buyer1 / Wrong@123</t>
  </si>
  <si>
    <t>Login is rejected; no authenticated session is created.</t>
  </si>
  <si>
    <t>Wrong username or password' message is displayed, no authentication session created</t>
  </si>
  <si>
    <t>WC-TC-0004</t>
  </si>
  <si>
    <t>Reject unknown username</t>
  </si>
  <si>
    <t>Verify an unknown account cannot log in.</t>
  </si>
  <si>
    <t>Application is available.</t>
  </si>
  <si>
    <t>1. Open login page.
2. Enter unknown username and any password.
3. Submit.</t>
  </si>
  <si>
    <t>unknown_user / Test@123</t>
  </si>
  <si>
    <t>Login is rejected with a safe error message.</t>
  </si>
  <si>
    <t>WC-TC-0005</t>
  </si>
  <si>
    <t>Role-based page access</t>
  </si>
  <si>
    <t>Verify a user cannot access another role's restricted pages.</t>
  </si>
  <si>
    <t>Buyer, seller and operator accounts exist.</t>
  </si>
  <si>
    <t>1. Log in as buyer.
2. Navigate directly to seller order-management and operator settings URLs.
3. Repeat for seller and operator roles.</t>
  </si>
  <si>
    <t>buyer1; seller2; operator</t>
  </si>
  <si>
    <t>Restricted pages/actions are denied for unauthorized roles; no protected data is disclosed.</t>
  </si>
  <si>
    <t>Login page is getting displayed but the session was not getting logged out or no unauthorized message were displayed.</t>
  </si>
  <si>
    <t>Security</t>
  </si>
  <si>
    <t>Bug-01</t>
  </si>
  <si>
    <t>WC-TC-0006</t>
  </si>
  <si>
    <t>Buyer</t>
  </si>
  <si>
    <t>Catalogue displays in-stock products</t>
  </si>
  <si>
    <t>Verify catalogue excludes products with zero stock.</t>
  </si>
  <si>
    <t>Buyer is logged in; catalogue has in-stock and out-of-stock products.</t>
  </si>
  <si>
    <t>1. Open catalogue.
2. Review listed products.
3. Search for a known out-of-stock SKU.</t>
  </si>
  <si>
    <t>In-stock SKU and zero-stock SKU</t>
  </si>
  <si>
    <t>Only products with available stock appear in catalogue and search results; zero-stock products are not returned.</t>
  </si>
  <si>
    <t>Zero-stock products are getting listed in the catelogues.</t>
  </si>
  <si>
    <t>Functional</t>
  </si>
  <si>
    <t>Bug-03</t>
  </si>
  <si>
    <t>WC-TC-0007</t>
  </si>
  <si>
    <t>Search by product name</t>
  </si>
  <si>
    <t>Verify search returns matching products by name.</t>
  </si>
  <si>
    <t>Buyer is logged in; matching product exists.</t>
  </si>
  <si>
    <t>1. Enter a full or partial product name.
2. Click Search.</t>
  </si>
  <si>
    <t>Chef's Banana Chips</t>
  </si>
  <si>
    <t>Matching product(s) are shown with correct SKU, category and price.</t>
  </si>
  <si>
    <t xml:space="preserve">Given product name only should be listed in the catelogue page.
</t>
  </si>
  <si>
    <t>WC-TC-0008</t>
  </si>
  <si>
    <t>Verify the pagination on searching the product name</t>
  </si>
  <si>
    <t>Pagination was not displaying after searching the product</t>
  </si>
  <si>
    <t>Bug-05</t>
  </si>
  <si>
    <t>WC-TC-0009</t>
  </si>
  <si>
    <t>Search by SKU</t>
  </si>
  <si>
    <t>Verify exact SKU search returns the correct product.</t>
  </si>
  <si>
    <t>Buyer is logged in; SKU exists.</t>
  </si>
  <si>
    <t>1. Enter an existing SKU.
2. Click Search.</t>
  </si>
  <si>
    <t>SKU-0475</t>
  </si>
  <si>
    <t>Correct product is returned.</t>
  </si>
  <si>
    <t>Given product name only should be listed in the catelogue page.</t>
  </si>
  <si>
    <t>WC-TC-0010</t>
  </si>
  <si>
    <t>Search with no matches</t>
  </si>
  <si>
    <t>Verify empty-result behavior.</t>
  </si>
  <si>
    <t>Buyer is logged in.</t>
  </si>
  <si>
    <t>1. Search for a non-existent name/SKU.</t>
  </si>
  <si>
    <t>NO-SUCH-SKU-999</t>
  </si>
  <si>
    <t>No products are returned; a clear empty-result message is displayed.</t>
  </si>
  <si>
    <t>No product found message was not displayed</t>
  </si>
  <si>
    <t>Bug-04</t>
  </si>
  <si>
    <t>WC-TC-0011</t>
  </si>
  <si>
    <t>Filter catalogue by category</t>
  </si>
  <si>
    <t>Verify category filter limits results.</t>
  </si>
  <si>
    <t>Buyer is logged in; products exist in multiple categories.</t>
  </si>
  <si>
    <t>1. Select Grains.
2. Click Search.
3. Inspect each result.</t>
  </si>
  <si>
    <t>Category=Grains</t>
  </si>
  <si>
    <t>All returned products belong to Grains; products from other categories are excluded.</t>
  </si>
  <si>
    <t>Based on the selected category the products are getting displayed</t>
  </si>
  <si>
    <t>WC-TC-0012</t>
  </si>
  <si>
    <t>Catalogue prices exclude tax</t>
  </si>
  <si>
    <t>Verify displayed piece and case prices are net prices.</t>
  </si>
  <si>
    <t>Buyer is logged in; product tax rate and price are known.</t>
  </si>
  <si>
    <t>1. Open catalogue.
2. Compare displayed prices with product configuration.</t>
  </si>
  <si>
    <t>SKU-0475; piece price ₹62.75; case price ₹346.38; tax 18%</t>
  </si>
  <si>
    <t>Catalogue displays configured prices excluding tax; tax is shown separately where applicable.</t>
  </si>
  <si>
    <t>Catalogue displayed the expected given prices in the table</t>
  </si>
  <si>
    <t>WC-TC-0013</t>
  </si>
  <si>
    <t>Open product detail</t>
  </si>
  <si>
    <t>Verify product details show price, tax, stock and unit options.</t>
  </si>
  <si>
    <t>Buyer is logged in; product is in stock.</t>
  </si>
  <si>
    <t>1. Open a catalogue product link.
2. Review details.</t>
  </si>
  <si>
    <t>Product name, SKU, category, seller, piece/case prices, tax rate and available stock are correct.</t>
  </si>
  <si>
    <t>Expected fields and values are dispalyed for the given product</t>
  </si>
  <si>
    <t>WC-TC-0014</t>
  </si>
  <si>
    <t>Search the product and select the category</t>
  </si>
  <si>
    <t>Verify the product list on search the product and selecting the category</t>
  </si>
  <si>
    <t>Buyer is logged in; products exist in a category</t>
  </si>
  <si>
    <t>1. Select Grains.
2. Click Search.
3. Enter the search text and search it.
4. Select the category and search.</t>
  </si>
  <si>
    <t>Search Text = Chef
Category = Grains</t>
  </si>
  <si>
    <t>The product list should be loaded based on the given search text and the category</t>
  </si>
  <si>
    <t>The category filter was not getting applied on searching the text</t>
  </si>
  <si>
    <t>Bug-06</t>
  </si>
  <si>
    <t>WC-TC-0015</t>
  </si>
  <si>
    <t>Add product by case</t>
  </si>
  <si>
    <t>Verify a buyer can add a valid case quantity from product detail.</t>
  </si>
  <si>
    <t>Buyer is logged in; product has enough stock.</t>
  </si>
  <si>
    <t>1. Open product detail.
2. Select Case.
3. Enter quantity 1.
4. Click Add to cart.</t>
  </si>
  <si>
    <t>SKU-0475; case size 6; quantity 1</t>
  </si>
  <si>
    <t>Cart contains the product as a case; line total equals case price × quantity; success feedback is shown.</t>
  </si>
  <si>
    <t>Case is getting added in the cart with the given quantity</t>
  </si>
  <si>
    <t>WC-TC-0016</t>
  </si>
  <si>
    <t>Add product by piece</t>
  </si>
  <si>
    <t>Verify a buyer can add a product in piece units.</t>
  </si>
  <si>
    <t>1. Open product detail.
2. Select Piece.
3. Enter quantity 1.
4. Add to cart.</t>
  </si>
  <si>
    <t>SKU-0475; piece price ₹62.75; quantity 1</t>
  </si>
  <si>
    <t>Cart contains a piece line at the piece price.</t>
  </si>
  <si>
    <t>Piece is getting added in the cart with the given value</t>
  </si>
  <si>
    <t>WC-TC-0017</t>
  </si>
  <si>
    <t>Cart allows quantity minimum 1</t>
  </si>
  <si>
    <t>Verify zero and negative quantities are rejected.</t>
  </si>
  <si>
    <t>Buyer has a product in cart.</t>
  </si>
  <si>
    <t>1. Enter 0, then a negative quantity where input permits.
2. Update cart.</t>
  </si>
  <si>
    <t>0; -1</t>
  </si>
  <si>
    <t>Invalid quantities are rejected and cart totals remain unchanged.</t>
  </si>
  <si>
    <t>Expected message is getting dispalyed</t>
  </si>
  <si>
    <t>WC-TC-0018</t>
  </si>
  <si>
    <t>Cart quantity maximum 99</t>
  </si>
  <si>
    <t>Verify the maximum cart-line quantity is enforced.</t>
  </si>
  <si>
    <t>Buyer is logged in; sufficient stock exists.</t>
  </si>
  <si>
    <t>1. Add a product.
2. Set quantity to 99 and update.
3. Attempt quantity 100.</t>
  </si>
  <si>
    <t>99; 100</t>
  </si>
  <si>
    <t>Quantity 99 is accepted if stock allows; quantity above 99 is rejected.</t>
  </si>
  <si>
    <t>Expected message is getting dispalyed but after the message displayed if we enter the valid value the product was not added in the cart.</t>
  </si>
  <si>
    <t>Bug-07</t>
  </si>
  <si>
    <t>WC-TC-0019</t>
  </si>
  <si>
    <t>Cart quantity is empty in product details</t>
  </si>
  <si>
    <t>Verify the cart quantity is empty in the product details</t>
  </si>
  <si>
    <t>1. Add a product.
2. Set quantity to empty
3. Click the Add to Cart button</t>
  </si>
  <si>
    <t>Prompt message should be displayed as "Enter the Quantity Number"</t>
  </si>
  <si>
    <t>It is displaying the API response value in the browser that the quantity value is null</t>
  </si>
  <si>
    <t>Bug-08</t>
  </si>
  <si>
    <t>WC-TC-0020</t>
  </si>
  <si>
    <t>Cart quantity is empty in the cart page</t>
  </si>
  <si>
    <t>Verify the cart quantity is empty in the cart page</t>
  </si>
  <si>
    <t>1. Open cart.
2. Clear the quantity of the product
3. Click the update button</t>
  </si>
  <si>
    <t>WC-TC-0021</t>
  </si>
  <si>
    <t>Update cart line quantity</t>
  </si>
  <si>
    <t>Verify line and net totals recalculate after quantity update.</t>
  </si>
  <si>
    <t>1. Change quantity.
2. Click Update.
3. Check line total and net total.</t>
  </si>
  <si>
    <t>SKU-0475 piece ₹62.75; quantity 10</t>
  </si>
  <si>
    <t>Line total equals ₹627.50; net total equals sum of all cart lines before tax.</t>
  </si>
  <si>
    <t>Based on the updated quantity value the total value is getting updated correctly</t>
  </si>
  <si>
    <t>WC-TC-0022</t>
  </si>
  <si>
    <t>Stock prevents over-ordering</t>
  </si>
  <si>
    <t>Verify a cart cannot reserve more pieces than available stock.</t>
  </si>
  <si>
    <t>Known product stock is lower than requested quantity.</t>
  </si>
  <si>
    <t>1. Attempt to add a case/piece quantity exceeding stock.
2. Proceed to update cart.</t>
  </si>
  <si>
    <t>Stock 5 pieces; request 6 pieces</t>
  </si>
  <si>
    <t>System blocks the excess quantity and explains stock availability; stock never becomes negative.</t>
  </si>
  <si>
    <t>No Prompt messages were displayed on execeeding the quantity value which is unavailable</t>
  </si>
  <si>
    <t>Bug-09</t>
  </si>
  <si>
    <t>WC-TC-0023</t>
  </si>
  <si>
    <t>Empty cart hides checkout button</t>
  </si>
  <si>
    <t>Verify checkout cannot be initiated from an empty cart.</t>
  </si>
  <si>
    <t>Buyer is logged in; cart is empty.</t>
  </si>
  <si>
    <t>1. Open cart.
2. Inspect Proceed to checkout.</t>
  </si>
  <si>
    <t>Empty cart</t>
  </si>
  <si>
    <t>Proceed to checkout is hidden when cart is empty.</t>
  </si>
  <si>
    <t>Your cart is empty message is getting displayed</t>
  </si>
  <si>
    <t>WC-TC-0024</t>
  </si>
  <si>
    <t>Same product in different units</t>
  </si>
  <si>
    <t>Verify piece and case lines are represented and totalled correctly.</t>
  </si>
  <si>
    <t>Buyer is logged in; product has sufficient stock.</t>
  </si>
  <si>
    <t>1. Add product as case.
2. Add same product as piece.
3. Open cart.</t>
  </si>
  <si>
    <t>SKU-0475; 12 cases at ₹346.38 and 10 pieces at ₹62.75</t>
  </si>
  <si>
    <t>Separate unit lines are shown; line totals and net total are correct.</t>
  </si>
  <si>
    <t>WC-TC-0025</t>
  </si>
  <si>
    <t>Minimum order per seller at threshold</t>
  </si>
  <si>
    <t>Verify the minimum net order is enforced at exactly ₹2,000 per seller per approved CR-07.</t>
  </si>
  <si>
    <t>Buyer has cart items from one seller; settings reflect release notes.</t>
  </si>
  <si>
    <t>1. Add products totalling exactly ₹2,000 net for one seller.
2. Proceed to checkout.</t>
  </si>
  <si>
    <t>Seller net = ₹2,000.00</t>
  </si>
  <si>
    <t>Checkout accepts that seller's sub-order because the approved release-note minimum is ₹2,000 net.</t>
  </si>
  <si>
    <t>Order is getting placed</t>
  </si>
  <si>
    <t>Boundary</t>
  </si>
  <si>
    <t>WC-TC-0026</t>
  </si>
  <si>
    <t>Minimum order below threshold</t>
  </si>
  <si>
    <t>Verify checkout rejects seller sub-order net below ₹2,000.</t>
  </si>
  <si>
    <t>Buyer has cart items from one seller.</t>
  </si>
  <si>
    <t>1. Add items totalling ₹1,999.99 net for a seller.
2. Proceed to checkout.</t>
  </si>
  <si>
    <t>Seller net = ₹1,999.99</t>
  </si>
  <si>
    <t>Checkout blocks submission and identifies the seller whose net amount is below ₹2,000.</t>
  </si>
  <si>
    <t>Expected message is getting displayed if the order is lesser than 2000 also the order was not placed</t>
  </si>
  <si>
    <t>WC-TC-0027</t>
  </si>
  <si>
    <t>Minimum evaluated separately per seller</t>
  </si>
  <si>
    <t>Verify each seller independently meets the minimum.</t>
  </si>
  <si>
    <t>Products from at least two sellers are available.</t>
  </si>
  <si>
    <t>1. Add ₹2,500 from seller A and ₹1,800 from seller B.
2. Proceed to checkout.</t>
  </si>
  <si>
    <t>Seller A ₹2,500; seller B ₹1,800</t>
  </si>
  <si>
    <t>Checkout rejects the seller B sub-order even though combined cart net exceeds the minimum.</t>
  </si>
  <si>
    <t>Order is getting placed eventhough the seller B value is lesser than 2000</t>
  </si>
  <si>
    <t>Bug-10</t>
  </si>
  <si>
    <t>WC-TC-0028</t>
  </si>
  <si>
    <t>Seller summary and grand total</t>
  </si>
  <si>
    <t>Verify checkout shows net, tax, delivery including tax and totals per seller.</t>
  </si>
  <si>
    <t>Cart contains eligible items; tax rates and seller grouping are known.</t>
  </si>
  <si>
    <t>1. Proceed to checkout.
2. Inspect seller summary and grand total.</t>
  </si>
  <si>
    <t>Products taxed at 5% and 18%; seller nets around delivery threshold</t>
  </si>
  <si>
    <t>Each seller row shows correct net, tax, delivery fee including tax and total; grand total equals sum of seller totals.</t>
  </si>
  <si>
    <t>Net, Tax and delivery fee including tax and total and grant total are displaying as expected</t>
  </si>
  <si>
    <t>WC-TC-0029</t>
  </si>
  <si>
    <t>Tax aggregation and half-up rounding</t>
  </si>
  <si>
    <t>Verify tax is summed by rate and rounded half-up once per rate.</t>
  </si>
  <si>
    <t>Cart has multiple lines sharing a tax rate.</t>
  </si>
  <si>
    <t>1. Add multiple products taxed at the same rate.
2. Open checkout.
3. Independently calculate rate-group totals.</t>
  </si>
  <si>
    <t>Several 5% lines and several 18% lines with fractional-paisa results</t>
  </si>
  <si>
    <t>Tax is calculated on the summed net value per tax rate and rounded half-up to the paisa once per rate.</t>
  </si>
  <si>
    <t>Tax were calculated based on the individual product tax percentage. Working fine as expected</t>
  </si>
  <si>
    <t>Calculation</t>
  </si>
  <si>
    <t>WC-TC-0030</t>
  </si>
  <si>
    <t>Mixed tax rates</t>
  </si>
  <si>
    <t>Verify 5% and 18% taxes are independently calculated.</t>
  </si>
  <si>
    <t>Cart contains products at both tax rates.</t>
  </si>
  <si>
    <t>1. Add products taxed at 5% and 18%.
2. Review checkout summary.</t>
  </si>
  <si>
    <t>Tax rates 5%, 18%</t>
  </si>
  <si>
    <t>Tax is grouped and rounded separately for each rate; total tax is the sum of the rounded rate groups.</t>
  </si>
  <si>
    <t>WC-TC-0031</t>
  </si>
  <si>
    <t>Delivery fee below ₹3,000</t>
  </si>
  <si>
    <t>Verify a ₹100 fee plus 18% tax applies per seller sub-order below ₹3,000 net.</t>
  </si>
  <si>
    <t>A seller's net is below ₹3,000 and at least ₹2,000.</t>
  </si>
  <si>
    <t>1. Add eligible products from that seller.
2. Proceed to checkout.</t>
  </si>
  <si>
    <t>Seller net ₹2,500</t>
  </si>
  <si>
    <t>Delivery fee is ₹100 before tax plus ₹18 tax; checkout shows ₹118 delivery inclusive of tax.</t>
  </si>
  <si>
    <t>Delivery charges is getting displayed as 118 as expected when the total is less than 3000</t>
  </si>
  <si>
    <t>WC-TC-0032</t>
  </si>
  <si>
    <t>No delivery fee at ₹3,000 threshold</t>
  </si>
  <si>
    <t>Verify delivery fee rule at exactly ₹3,000 net.</t>
  </si>
  <si>
    <t>Seller net can be set to exactly ₹3,000.</t>
  </si>
  <si>
    <t>1. Add items totalling ₹3,000 net for one seller.
2. Proceed to checkout.</t>
  </si>
  <si>
    <t>Seller net ₹3,000.00</t>
  </si>
  <si>
    <t>No delivery fee is charged for that seller because the rule applies only when net is below ₹3,000.</t>
  </si>
  <si>
    <t>Delivery charge is zero for this scenario</t>
  </si>
  <si>
    <t>WC-TC-0033</t>
  </si>
  <si>
    <t>Delivery fee independently per seller</t>
  </si>
  <si>
    <t>Verify fee is assessed separately for each seller sub-order.</t>
  </si>
  <si>
    <t>Cart includes products from multiple sellers.</t>
  </si>
  <si>
    <t>1. Add eligible items from two sellers, each below ₹3,000.
2. Review checkout.</t>
  </si>
  <si>
    <t>Seller A ₹2,200; seller B ₹2,700</t>
  </si>
  <si>
    <t>Each qualifying seller sub-order has its own ₹100 fee plus ₹18 tax.</t>
  </si>
  <si>
    <t>For both the seller the delivery charges are displaying as 118 as expected.</t>
  </si>
  <si>
    <t>WC-TC-0034</t>
  </si>
  <si>
    <t>Delivery date range</t>
  </si>
  <si>
    <t>Verify date picker permits today through today + 7 days.</t>
  </si>
  <si>
    <t>Buyer is at checkout; store clock/time is known.</t>
  </si>
  <si>
    <t>1. Open date picker.
2. Try today, today + 7 days, yesterday and today + 8 days.</t>
  </si>
  <si>
    <t>Date boundaries based on store clock</t>
  </si>
  <si>
    <t>Today and the next 7 days are selectable; dates outside the range are unavailable.</t>
  </si>
  <si>
    <t xml:space="preserve">We are able to select the date after 7 days </t>
  </si>
  <si>
    <t>Bug-11</t>
  </si>
  <si>
    <t>WC-TC-0035</t>
  </si>
  <si>
    <t>Delivery slot capacity</t>
  </si>
  <si>
    <t>Verify slots at capacity are disabled.</t>
  </si>
  <si>
    <t>A delivery slot has reached configured capacity of 5 orders.</t>
  </si>
  <si>
    <t>1. Open checkout for that date.
2. Inspect slot availability.</t>
  </si>
  <si>
    <t>Orders per slot = 5; one slot already has 5 orders</t>
  </si>
  <si>
    <t>Full slot is disabled with a reason; a slot with capacity remains selectable.</t>
  </si>
  <si>
    <t>If the delivery slot exceed 5 that radio button got disabled</t>
  </si>
  <si>
    <t>WC-TC-0036</t>
  </si>
  <si>
    <t>Same-day morning slot unavailable</t>
  </si>
  <si>
    <t>Verify same-day 08:00–11:00 and 11:00–14:00 slots are unavailable.</t>
  </si>
  <si>
    <t>Store clock is set to today before cut-off.</t>
  </si>
  <si>
    <t>1. Select today's delivery date.
2. Inspect all slots.</t>
  </si>
  <si>
    <t>Today; before 10:00</t>
  </si>
  <si>
    <t>Morning slots are disabled with the same-day availability reason.</t>
  </si>
  <si>
    <t>Morning Slots are unavailable</t>
  </si>
  <si>
    <t>WC-TC-0037</t>
  </si>
  <si>
    <t>Same-day afternoon before cut-off</t>
  </si>
  <si>
    <t>Verify afternoon/evening slots can be booked before cut-off.</t>
  </si>
  <si>
    <t>Store clock is set to today before 10:00; slot has capacity.</t>
  </si>
  <si>
    <t>1. Select today.
2. Select 14:00–17:00 or 17:00–20:00.
3. Place order.</t>
  </si>
  <si>
    <t>Store time 09:59:59; slot capacity available</t>
  </si>
  <si>
    <t>Same-day afternoon/evening slot is available and order submission succeeds if other rules pass.</t>
  </si>
  <si>
    <t>Afternoon Slots are available</t>
  </si>
  <si>
    <t>WC-TC-0038</t>
  </si>
  <si>
    <t>Same-day order at exact cut-off</t>
  </si>
  <si>
    <t>Verify order is not treated as before cut-off at 07:10:00.</t>
  </si>
  <si>
    <t>Store clock can be fixed.</t>
  </si>
  <si>
    <t>1. Set store clock to 07:10:00.
2. Select today.
3. Inspect afternoon/evening slots.</t>
  </si>
  <si>
    <t>Store time 07:10:00</t>
  </si>
  <si>
    <t>Same-day slots requiring placement before cut-off are unavailable; exactly 07:10 does not qualify. or after 07:10 also the today slot should not displayed</t>
  </si>
  <si>
    <t xml:space="preserve">We are displaying the today afternoon slot </t>
  </si>
  <si>
    <t>Bug-16</t>
  </si>
  <si>
    <t>WC-TC-0039</t>
  </si>
  <si>
    <t>Next-day morning slots</t>
  </si>
  <si>
    <t>Verify morning slots can be booked for a future eligible date.</t>
  </si>
  <si>
    <t>Future date within 7-day range; slot has capacity.</t>
  </si>
  <si>
    <t>1. Select tomorrow.
2. Inspect morning slots.</t>
  </si>
  <si>
    <t>Tomorrow; 08:00–11:00 and 11:00–14:00</t>
  </si>
  <si>
    <t>Morning slots are available unless capacity is full.</t>
  </si>
  <si>
    <t>Slot is displaying if it is available for the other days.</t>
  </si>
  <si>
    <t>WC-TC-0040</t>
  </si>
  <si>
    <t>Place order success message</t>
  </si>
  <si>
    <t>Verify successful submission redirects to order history and shows order numbers.</t>
  </si>
  <si>
    <t>Cart satisfies minimums, stock and slot rules.</t>
  </si>
  <si>
    <t>1. Select a valid date and slot.
2. Click Place order.</t>
  </si>
  <si>
    <t>Valid cart and available slot</t>
  </si>
  <si>
    <t>Order history opens and message reads 'Your order has been placed. Order number: {numbers}' with generated order number(s).</t>
  </si>
  <si>
    <t>Only Order placed message is displayed not the one in the requirement.</t>
  </si>
  <si>
    <t>Bug-12</t>
  </si>
  <si>
    <t>WC-TC-0041</t>
  </si>
  <si>
    <t>Duplicate checkout submission</t>
  </si>
  <si>
    <t>Verify double-click/retry does not create duplicate orders.</t>
  </si>
  <si>
    <t>Valid checkout ready to submit.</t>
  </si>
  <si>
    <t>1. Submit checkout twice rapidly or replay same submission.
2. Inspect order history and stock.</t>
  </si>
  <si>
    <t>Same checkout submitted twice</t>
  </si>
  <si>
    <t>Only one order is created; stock is decremented once.</t>
  </si>
  <si>
    <t xml:space="preserve">Duplicate order is getting created </t>
  </si>
  <si>
    <t>Concurrency</t>
  </si>
  <si>
    <t>Bug-13</t>
  </si>
  <si>
    <t>WC-TC-0042</t>
  </si>
  <si>
    <t>Order number format and seller sub-orders</t>
  </si>
  <si>
    <t>Verify checkout with multiple sellers generates one sub-order per seller.</t>
  </si>
  <si>
    <t>Cart contains products from at least two sellers.</t>
  </si>
  <si>
    <t>1. Place one checkout for multiple sellers.
2. Inspect order history.</t>
  </si>
  <si>
    <t>Multi-seller checkout</t>
  </si>
  <si>
    <t>Each seller receives one sub-order; order numbers follow WC-&lt;checkout number&gt;-&lt;seller sub-order index&gt; format.</t>
  </si>
  <si>
    <t>Orders displayed as expected</t>
  </si>
  <si>
    <t>WC-TC-0043</t>
  </si>
  <si>
    <t>Concurrent stock contention</t>
  </si>
  <si>
    <t>Verify simultaneous orders cannot oversell stock.</t>
  </si>
  <si>
    <t>Product stock is limited and multiple buyer sessions are available.</t>
  </si>
  <si>
    <t>1. Submit orders concurrently for more pieces than available stock.
2. Inspect orders and stock.</t>
  </si>
  <si>
    <t>Stock 10 pieces; two buyers each request 6 pieces</t>
  </si>
  <si>
    <t>At most 10 pieces are ordered across both buyers; the losing/over-limit request is rejected or adjusted safely.</t>
  </si>
  <si>
    <t>The Stock value was not getting updated after an order was placed</t>
  </si>
  <si>
    <t>WC-TC-0044</t>
  </si>
  <si>
    <t>Order history newest first</t>
  </si>
  <si>
    <t>Verify orders are sorted newest first and include cancelled orders.</t>
  </si>
  <si>
    <t>Buyer has orders with different creation times and a cancelled order.</t>
  </si>
  <si>
    <t>1. Open order history.
2. Inspect ordering and statuses.</t>
  </si>
  <si>
    <t>Several historical orders</t>
  </si>
  <si>
    <t>Newest order appears first; cancelled orders remain visible with Cancelled status.</t>
  </si>
  <si>
    <t>Newest order appears first.</t>
  </si>
  <si>
    <t>WC-TC-0045</t>
  </si>
  <si>
    <t>Buyer can view only own orders</t>
  </si>
  <si>
    <t>Verify buyer data isolation.</t>
  </si>
  <si>
    <t>Two buyer accounts have orders.</t>
  </si>
  <si>
    <t>1. Log in as buyer1.
2. Try to access buyer2 order detail by URL/API.</t>
  </si>
  <si>
    <t>buyer1; buyer2 order number</t>
  </si>
  <si>
    <t>Buyer1 cannot view buyer2 orders or associated information.</t>
  </si>
  <si>
    <t>Respective buyers order only listed in the order page</t>
  </si>
  <si>
    <t>WC-TC-0046</t>
  </si>
  <si>
    <t>Cancel placed order within window</t>
  </si>
  <si>
    <t>Verify an unshipped placed order can be cancelled within 5 minutes.</t>
  </si>
  <si>
    <t>Order is placed and has not shipped; store clock can be fixed.</t>
  </si>
  <si>
    <t>1. Open order within cancellation window.
2. Click Cancel.</t>
  </si>
  <si>
    <t>Order age lesser than 5 minutes; status Placed</t>
  </si>
  <si>
    <t>Order status becomes Cancelled; stock is returned; order remains in history.</t>
  </si>
  <si>
    <t>The order is getting cancelled from the buyer when the buyer cancel it before 5 minutes</t>
  </si>
  <si>
    <t>WC-TC-0047</t>
  </si>
  <si>
    <t>Reject cancellation after 5 minutes</t>
  </si>
  <si>
    <t>Verify cancellation is blocked outside the cancellation window.</t>
  </si>
  <si>
    <t>Order is placed and unshipped.</t>
  </si>
  <si>
    <t>1. Advance store clock beyond 5 minutes.
2. Attempt cancellation.</t>
  </si>
  <si>
    <t>Order age greater than 5 minutes</t>
  </si>
  <si>
    <t>Cancellation is unavailable/rejected; status and stock remain unchanged.</t>
  </si>
  <si>
    <t xml:space="preserve">Prompt message is displayed that the 5 minutes time is exceeded </t>
  </si>
  <si>
    <t>WC-TC-0048</t>
  </si>
  <si>
    <t>Reject cancellation after shipment</t>
  </si>
  <si>
    <t>Verify shipped orders cannot be cancelled.</t>
  </si>
  <si>
    <t>Order status is Shipped.</t>
  </si>
  <si>
    <t>1. Open order.
2. Attempt cancellation.</t>
  </si>
  <si>
    <t>Status Shipped</t>
  </si>
  <si>
    <t>Cancellation is not offered or is rejected; order status and stock are unchanged.</t>
  </si>
  <si>
    <t>Once the order is in shipped status we are able to cancel it.</t>
  </si>
  <si>
    <t>BUG-15</t>
  </si>
  <si>
    <t>WC-TC-0049</t>
  </si>
  <si>
    <t>Seller</t>
  </si>
  <si>
    <t>Seller cancellation visible immediately</t>
  </si>
  <si>
    <t>Verify seller cancellation updates buyer-visible status.</t>
  </si>
  <si>
    <t>Seller has a cancellable order.</t>
  </si>
  <si>
    <t>1. Log in as seller.
2. Cancel order.
3. Refresh buyer order history.</t>
  </si>
  <si>
    <t>Order status Placed or Accepted</t>
  </si>
  <si>
    <t>Buyer sees Cancelled status immediately.</t>
  </si>
  <si>
    <t>Selller's cancelation was not reflected in the Buyer's order list</t>
  </si>
  <si>
    <t>WC-TC-0050</t>
  </si>
  <si>
    <t>Accept placed order</t>
  </si>
  <si>
    <t>Verify seller can accept a placed order.</t>
  </si>
  <si>
    <t>Seller has a Placed order.</t>
  </si>
  <si>
    <t>1. Open seller order list.
2. Select Accept.</t>
  </si>
  <si>
    <t>Status Placed</t>
  </si>
  <si>
    <t>Status changes to Accepted; valid next actions are shown.</t>
  </si>
  <si>
    <t>Accepted status has been updated</t>
  </si>
  <si>
    <t>WC-TC-0051</t>
  </si>
  <si>
    <t>Ship accepted order</t>
  </si>
  <si>
    <t>Verify seller can ship an accepted order.</t>
  </si>
  <si>
    <t>Seller has an Accepted order.</t>
  </si>
  <si>
    <t>1. Open order.
2. Select Ship.</t>
  </si>
  <si>
    <t>Status Accepted</t>
  </si>
  <si>
    <t>Status changes to Shipped; cancellation and other invalid actions are unavailable.</t>
  </si>
  <si>
    <t>Shipped status has been updated</t>
  </si>
  <si>
    <t>WC-TC-0052</t>
  </si>
  <si>
    <t>Mark delivery failed</t>
  </si>
  <si>
    <t>Verify shipped order can be marked delivery failed.</t>
  </si>
  <si>
    <t>Seller has a Shipped order.</t>
  </si>
  <si>
    <t>1. Open order.
2. Select delivery failed.</t>
  </si>
  <si>
    <t>Status changes to Delivery failed; buyer can request redelivery.</t>
  </si>
  <si>
    <t>After the delivery got failed, the buyer can able to request redelivery</t>
  </si>
  <si>
    <t>WC-TC-0053</t>
  </si>
  <si>
    <t>Request redelivery after failed delivery</t>
  </si>
  <si>
    <t>Verify buyer can request redelivery with a valid new slot.</t>
  </si>
  <si>
    <t>Order status is Delivery failed.</t>
  </si>
  <si>
    <t>1. Open order.
2. Choose a new eligible date and slot.
3. Submit redelivery request.</t>
  </si>
  <si>
    <t>Valid date within next 7 days; slot available</t>
  </si>
  <si>
    <t>Status becomes Redelivery requested and selected slot is saved.</t>
  </si>
  <si>
    <t>Not seven day restriction is displayed but we are able to perform the redelivery</t>
  </si>
  <si>
    <t>WC-TC-0054</t>
  </si>
  <si>
    <t>Redelivery respects same-day rules</t>
  </si>
  <si>
    <t>Verify redelivery slot follows date, capacity and cut-off rules.</t>
  </si>
  <si>
    <t>Order has failed delivery; store clock is controllable.</t>
  </si>
  <si>
    <t>1. Attempt same-day morning slot.
2. Attempt same-day afternoon slot after cut-off.
3. Try valid future slot.</t>
  </si>
  <si>
    <t>Same-day slots and future slot</t>
  </si>
  <si>
    <t>Invalid slots are unavailable/rejected; only slots complying with BR-05 and BR-06 can be selected.</t>
  </si>
  <si>
    <t>We are able to select the unavialable slots in the redelivery section, restriction implementation was not applied here</t>
  </si>
  <si>
    <t>Bug-17</t>
  </si>
  <si>
    <t>WC-TC-0055</t>
  </si>
  <si>
    <t>Change slot before shipment</t>
  </si>
  <si>
    <t>Verify buyer can change delivery slot until order ships.</t>
  </si>
  <si>
    <t>Order status is Placed or Accepted; alternative slot has capacity.</t>
  </si>
  <si>
    <t>1. Open order.
2. Change date/slot.
3. Save.</t>
  </si>
  <si>
    <t>Valid alternative slot</t>
  </si>
  <si>
    <t>Requested delivery date and slot update successfully.</t>
  </si>
  <si>
    <t>Slot is getting changed</t>
  </si>
  <si>
    <t>WC-TC-0056</t>
  </si>
  <si>
    <t>Prevent slot change after shipment</t>
  </si>
  <si>
    <t>Verify slot change is blocked after order ships.</t>
  </si>
  <si>
    <t>1. Open order.
2. Attempt to change delivery slot.</t>
  </si>
  <si>
    <t>Slot change is not available or is rejected; existing slot remains unchanged.</t>
  </si>
  <si>
    <t>Slot change not available message is displayed when the order status is under shipped</t>
  </si>
  <si>
    <t>WC-TC-0057</t>
  </si>
  <si>
    <t>Prevent slot change after request to redelivery</t>
  </si>
  <si>
    <t>Verify slot change is booked after request to the redelivery</t>
  </si>
  <si>
    <t>Order status is redelivery_requested.</t>
  </si>
  <si>
    <t>Status redelivery_requested</t>
  </si>
  <si>
    <t>Slot change not available message is displayed when the order status is under redelivery_request</t>
  </si>
  <si>
    <t>Bug-18</t>
  </si>
  <si>
    <t>WC-TC-0058</t>
  </si>
  <si>
    <t>Actions match order status</t>
  </si>
  <si>
    <t>Verify seller order list only shows actions valid for each status.</t>
  </si>
  <si>
    <t>Orders exist in Placed, Accepted, Shipped and Delivered states.</t>
  </si>
  <si>
    <t>1. Log in as seller.
2. Inspect Actions for each status.</t>
  </si>
  <si>
    <t>Orders across lifecycle statuses</t>
  </si>
  <si>
    <t>Only valid actions are offered according to the state transition rules.</t>
  </si>
  <si>
    <t>Status are displaying in the flow</t>
  </si>
  <si>
    <t>WC-TC-0059</t>
  </si>
  <si>
    <t>Reorder all lines from past order</t>
  </si>
  <si>
    <t>Verify reorder adds every line from a previous order to cart.</t>
  </si>
  <si>
    <t>Buyer has a past order with multiple lines.</t>
  </si>
  <si>
    <t>1. Open order history.
2. Click Reorder.
3. Inspect cart.</t>
  </si>
  <si>
    <t>Past order with multiple products/units</t>
  </si>
  <si>
    <t>Every line is added to cart with corresponding unit and quantity, subject to current stock validation.</t>
  </si>
  <si>
    <t>It is getting added in the cart</t>
  </si>
  <si>
    <t>WC-TC-0060</t>
  </si>
  <si>
    <t>Repeated reorder action</t>
  </si>
  <si>
    <t>Verify repeated use adds lines each time.</t>
  </si>
  <si>
    <t>Buyer has a past order; cart can accept products.</t>
  </si>
  <si>
    <t>1. Click Reorder twice.
2. Inspect cart.</t>
  </si>
  <si>
    <t>Same past order reordered twice</t>
  </si>
  <si>
    <t>Each invocation adds every line again; behavior follows BR-16 and totals are consistent.</t>
  </si>
  <si>
    <t>only once the products are getting added in the cart</t>
  </si>
  <si>
    <t>WC-TC-0061</t>
  </si>
  <si>
    <t>Full refund for delivered order</t>
  </si>
  <si>
    <t>Verify full refund request covers all order lines.</t>
  </si>
  <si>
    <t>Order is Delivered.</t>
  </si>
  <si>
    <t>1. Open delivered order.
2. Request full refund.
3. Submit.</t>
  </si>
  <si>
    <t>Delivered order with multiple lines</t>
  </si>
  <si>
    <t>Full refund request includes all lines and ordered quantities.</t>
  </si>
  <si>
    <t>The refund request was not received to the seller</t>
  </si>
  <si>
    <t>Bug-19</t>
  </si>
  <si>
    <t>WC-TC-0062</t>
  </si>
  <si>
    <t>Partial refund for selected quantities</t>
  </si>
  <si>
    <t>Verify partial refund can target chosen lines and quantities.</t>
  </si>
  <si>
    <t>1. Request partial refund.
2. Select a line and quantity.
3. Submit.</t>
  </si>
  <si>
    <t>Line ordered qty 2; refund qty 1</t>
  </si>
  <si>
    <t>Request includes only selected line/quantity and calculated refund includes tax paid on those quantities.</t>
  </si>
  <si>
    <t>Only request items refund request has been sent but the request was not received to the seller</t>
  </si>
  <si>
    <t>WC-TC-0063</t>
  </si>
  <si>
    <t>Prevent refund quantity exceeding ordered quantity</t>
  </si>
  <si>
    <t>Verify total refund quantity on a line cannot exceed ordered quantity.</t>
  </si>
  <si>
    <t>Delivered order contains a line with known quantity.</t>
  </si>
  <si>
    <t>1. Request refund quantity equal to ordered quantity.
2. Attempt to add further refund quantity on same line.</t>
  </si>
  <si>
    <t>Ordered qty 2; requested aggregate refund qty 3</t>
  </si>
  <si>
    <t>System rejects excess quantity; aggregate refunded quantity cannot exceed ordered quantity.</t>
  </si>
  <si>
    <t>Expected message is getting displayed for the exceeding limit</t>
  </si>
  <si>
    <t>WC-TC-0064</t>
  </si>
  <si>
    <t>Approve refund request</t>
  </si>
  <si>
    <t>Verify seller can approve a valid refund request.</t>
  </si>
  <si>
    <t>Delivered order has a pending refund request.</t>
  </si>
  <si>
    <t>1. Log in as relevant seller.
2. Open request.
3. Approve.</t>
  </si>
  <si>
    <t>Valid pending refund</t>
  </si>
  <si>
    <t>Request status changes to approved; refund amount includes tax paid on refunded quantities.</t>
  </si>
  <si>
    <t>Request not recieved to the seller</t>
  </si>
  <si>
    <t>WC-TC-0065</t>
  </si>
  <si>
    <t>Reject refund request</t>
  </si>
  <si>
    <t>Verify seller can reject a pending refund request.</t>
  </si>
  <si>
    <t>1. Open request.
2. Reject and provide reason if required.</t>
  </si>
  <si>
    <t>Pending refund</t>
  </si>
  <si>
    <t>Request status becomes rejected; no refund is paid.</t>
  </si>
  <si>
    <t>WC-TC-0066</t>
  </si>
  <si>
    <t>Request exchange for delivered order</t>
  </si>
  <si>
    <t>Verify exchange is available only for delivered orders.</t>
  </si>
  <si>
    <t>1. Open order.
2. Request exchange for selected line/quantity.
3. Submit.</t>
  </si>
  <si>
    <t>Delivered order; selected line quantity within ordered quantity</t>
  </si>
  <si>
    <t>Exchange request is created for selected quantity; no money is returned as part of an exchange.</t>
  </si>
  <si>
    <t>Exchange request is getting created but it was not received to seller</t>
  </si>
  <si>
    <t>WC-TC-0067</t>
  </si>
  <si>
    <t>Prevent exchange quantity exceeding ordered quantity</t>
  </si>
  <si>
    <t>Verify aggregate exchange quantity cannot exceed purchased quantity.</t>
  </si>
  <si>
    <t>Delivered order has a known line quantity.</t>
  </si>
  <si>
    <t>1. Request exchange for full quantity.
2. Attempt another exchange for an excess quantity.</t>
  </si>
  <si>
    <t>Ordered qty 2; aggregate exchange qty 3</t>
  </si>
  <si>
    <t>System rejects the excess exchange quantity.</t>
  </si>
  <si>
    <t>Exchange request was not as expected and message should be displayed.</t>
  </si>
  <si>
    <t>WC-TC-0068</t>
  </si>
  <si>
    <t>Approve or reject exchange</t>
  </si>
  <si>
    <t>Verify seller can decide an exchange request.</t>
  </si>
  <si>
    <t>A delivered order has a pending exchange request.</t>
  </si>
  <si>
    <t>1. Log in as seller.
2. Open request.
3. Approve, then test rejection on another request.</t>
  </si>
  <si>
    <t>Pending exchange requests</t>
  </si>
  <si>
    <t>Seller decision is recorded; approved exchange sends replacement goods and does not issue a monetary refund.</t>
  </si>
  <si>
    <t>WC-TC-0069</t>
  </si>
  <si>
    <t>Invoice issued on delivery</t>
  </si>
  <si>
    <t>Verify invoice becomes available when an order is delivered.</t>
  </si>
  <si>
    <t>Order is shipped and seller can mark it delivered.</t>
  </si>
  <si>
    <t>1. Mark order delivered.
2. Open invoice.</t>
  </si>
  <si>
    <t>Delivered order</t>
  </si>
  <si>
    <t>Invoice is issued and accessible to the authorized buyer.</t>
  </si>
  <si>
    <t>Invoice getting generated for the delivered order</t>
  </si>
  <si>
    <t>WC-TC-0070</t>
  </si>
  <si>
    <t>Invoice contains mandatory parties and lines</t>
  </si>
  <si>
    <t>Verify invoice includes seller/buyer identity, GSTIN, address, dates and order lines.</t>
  </si>
  <si>
    <t>Delivered order; seller and buyer profile tax details are populated.</t>
  </si>
  <si>
    <t>1. Open invoice.
2. Inspect header and line items.</t>
  </si>
  <si>
    <t>Seller GSTIN; buyer GSTIN/address; multi-line order</t>
  </si>
  <si>
    <t>Invoice shows seller name/GSTIN, buyer name/GSTIN/address, invoice date, order number, every item, quantity, unit price, net, tax rate and amount.</t>
  </si>
  <si>
    <t>Given fields and it releated values are displayed correctly</t>
  </si>
  <si>
    <t>WC-TC-0071</t>
  </si>
  <si>
    <t>CR-09 B2B supply details</t>
  </si>
  <si>
    <t>Verify approved change request requires supply type and place of supply.</t>
  </si>
  <si>
    <t>Delivered order; buyer GSTIN has a valid state code; release notes CR-09 apply.</t>
  </si>
  <si>
    <t>1. Open invoice.
2. Verify supply type and place-of-supply fields.</t>
  </si>
  <si>
    <t>Buyer GSTIN state code; example Goa (30) per CR-09 sample</t>
  </si>
  <si>
    <t>Invoice shows Supply type: B2B and place of supply as state name and state code derived from buyer GSTIN.</t>
  </si>
  <si>
    <t>GSTIN value is displayed in the invoice</t>
  </si>
  <si>
    <t>WC-TC-0072</t>
  </si>
  <si>
    <t>Invoice tax and delivery fee reconciliation</t>
  </si>
  <si>
    <t>Verify tax by rate and delivery fee line reconcile to order total.</t>
  </si>
  <si>
    <t>Delivered order includes products at applicable tax rates and possibly a delivery fee.</t>
  </si>
  <si>
    <t>1. Open invoice.
2. Calculate tax per rate and delivery fee independently.
3. Compare total.</t>
  </si>
  <si>
    <t>5% and 18% lines; seller net below ₹3,000</t>
  </si>
  <si>
    <t>Tax follows BR-07; delivery fee appears as a separate line per BR-08; invoice total equals order total.</t>
  </si>
  <si>
    <t>Delivery fee was not displayed in the invoice</t>
  </si>
  <si>
    <t>Bug-20</t>
  </si>
  <si>
    <t>WC-TC-0073</t>
  </si>
  <si>
    <t>Invoice unavailable before delivery</t>
  </si>
  <si>
    <t>Verify invoice is not issued before delivery.</t>
  </si>
  <si>
    <t>Order status is Placed, Accepted or Shipped.</t>
  </si>
  <si>
    <t>1. Open order details.
2. Attempt to access invoice.</t>
  </si>
  <si>
    <t>Undelivered order</t>
  </si>
  <si>
    <t>Invoice is not issued/available until the order is delivered.</t>
  </si>
  <si>
    <t>Not Executed</t>
  </si>
  <si>
    <t>WC-TC-0074</t>
  </si>
  <si>
    <t>Monthly statement includes delivered orders</t>
  </si>
  <si>
    <t>Verify statement lists orders delivered in the selected month.</t>
  </si>
  <si>
    <t>Buyer has delivered orders across two months.</t>
  </si>
  <si>
    <t>1. Open monthly statement for one month.
2. Compare with order history.</t>
  </si>
  <si>
    <t>Delivered orders within and outside selected month</t>
  </si>
  <si>
    <t>Only orders delivered in the selected month are listed.</t>
  </si>
  <si>
    <t>WC-TC-0075</t>
  </si>
  <si>
    <t>Monthly statement subtracts approved refunds</t>
  </si>
  <si>
    <t>Verify approved refunds reduce statement value.</t>
  </si>
  <si>
    <t>Buyer has delivered order with an approved refund.</t>
  </si>
  <si>
    <t>1. Open statement for delivery month.
2. Compare order value and refund.</t>
  </si>
  <si>
    <t>Delivered order and approved partial/full refund</t>
  </si>
  <si>
    <t>Statement reflects delivered orders minus approved refunds.</t>
  </si>
  <si>
    <t>WC-TC-0076</t>
  </si>
  <si>
    <t>Cancelled orders excluded from statement</t>
  </si>
  <si>
    <t>Verify cancelled orders do not appear in monthly statement.</t>
  </si>
  <si>
    <t>Buyer has a cancelled order in the selected month.</t>
  </si>
  <si>
    <t>1. Open monthly statement.
2. Search for cancelled order number.</t>
  </si>
  <si>
    <t>Cancelled order</t>
  </si>
  <si>
    <t>Cancelled order is excluded from the statement.</t>
  </si>
  <si>
    <t>Defect ID</t>
  </si>
  <si>
    <t>Bug Description</t>
  </si>
  <si>
    <t>Steps to Reproduce</t>
  </si>
  <si>
    <t>Severity</t>
  </si>
  <si>
    <t>Evidence</t>
  </si>
  <si>
    <t>Linked Test Cases</t>
  </si>
  <si>
    <t>Environment</t>
  </si>
  <si>
    <t>Comment</t>
  </si>
  <si>
    <t>On accessing the other user URL, it is navigate to the login page</t>
  </si>
  <si>
    <t>Logged in as buyer1</t>
  </si>
  <si>
    <t>1. Logged in as buyer1
2. Launch the seller orders URL</t>
  </si>
  <si>
    <t>URL: http://13.200.185.1/c/ibrahim-5d1ff8/seller/orders</t>
  </si>
  <si>
    <t xml:space="preserve">The seller page should be restricted and display some message as restricted URL. </t>
  </si>
  <si>
    <t>Login page is getting displayed but still in the menu logout button is dispalying which means that the buyer session is still available</t>
  </si>
  <si>
    <t>Screenshot/Bug-01</t>
  </si>
  <si>
    <t>QA</t>
  </si>
  <si>
    <t>On Login the user without entering the username/password</t>
  </si>
  <si>
    <t>1. Launch the Login page.
2. Click the Login button or press enter key without entering the text in the username/password</t>
  </si>
  <si>
    <t>It should display the warning message that the fields are empty</t>
  </si>
  <si>
    <t>It is displaying the API response in the browser that the field value is missing. This should be handled.</t>
  </si>
  <si>
    <t>Screenshot/Bug-02</t>
  </si>
  <si>
    <t>This bug is applicable if both the fields are displayed as empty or either one of them is empty.</t>
  </si>
  <si>
    <t>Zero-stock products listed in the catelogue page.</t>
  </si>
  <si>
    <t>1. Logged in as buyer1
2. Search the product which is zero-stock in the seller products list</t>
  </si>
  <si>
    <t>Premium Basmati Rice</t>
  </si>
  <si>
    <t>It should not display the product which has zero-stocks in th catelogue page.</t>
  </si>
  <si>
    <t xml:space="preserve">The Product with zero stock was dispalying in the catelogue page. </t>
  </si>
  <si>
    <t>Screenshot/Bug-03</t>
  </si>
  <si>
    <t>WC-TC-0006
WC-TC-0043</t>
  </si>
  <si>
    <t>It is displaying wtih or without filtering the product.
The stock was not getting updated when the order has been placed.</t>
  </si>
  <si>
    <t>Search the product which is not available</t>
  </si>
  <si>
    <t>1. Logged in as buyer1
2. Search the product which is not available in the product list page</t>
  </si>
  <si>
    <t>test product name</t>
  </si>
  <si>
    <t xml:space="preserve">It should displaye the message that the 'No Product Found' </t>
  </si>
  <si>
    <t>No message were displayed if the product is not available.</t>
  </si>
  <si>
    <t>Screenshot/Bug-04</t>
  </si>
  <si>
    <t>Search the product and verify the pagination</t>
  </si>
  <si>
    <t>1. Logged in as buyer1
2. Search the product with partial name</t>
  </si>
  <si>
    <t>chef</t>
  </si>
  <si>
    <t>The pagination should be dispalyed if the product count is more than 24</t>
  </si>
  <si>
    <t>Pagination was not getting displayed for searched product</t>
  </si>
  <si>
    <t>recordings/Bug-05.mp4</t>
  </si>
  <si>
    <t>Search the product and Select the category</t>
  </si>
  <si>
    <t>1. Logged in as buyer1
2. Search the product with partial name
3. Select the Category and Search</t>
  </si>
  <si>
    <t>chef
category = Grain</t>
  </si>
  <si>
    <t>The products should be listed based on the given text and the selected category</t>
  </si>
  <si>
    <t>Category selection filter was not working if any text has been given in the search field</t>
  </si>
  <si>
    <t>Screenshot/Bug-06</t>
  </si>
  <si>
    <t>Product not getting added to the cart when the boundary reached message is displayd</t>
  </si>
  <si>
    <t>1. Logged in as buyer1
2. Select a product 
3. Enter the numer greater than 100 or lesser than 1 
4. Click the Add to cart button.
5. "Quantity must be a whole number from 1 to 99"
6. Enter the number between 1 to 99 and click the Add to car button</t>
  </si>
  <si>
    <t>Chef's Basmati Rice</t>
  </si>
  <si>
    <t>The product should be added in the cart</t>
  </si>
  <si>
    <t>Since the message(Quantity must be a whole number from 1 to 99) is getting displayed the product was not getting added in the cart.</t>
  </si>
  <si>
    <t>recordings/Bug-07.mp4</t>
  </si>
  <si>
    <t>Add the product to the cart when the quantity is empty</t>
  </si>
  <si>
    <t>screenshot/Bug-08</t>
  </si>
  <si>
    <t>WC-TC-0019
WC-TC-0020</t>
  </si>
  <si>
    <t>Same bug is happening in the cart page too.</t>
  </si>
  <si>
    <t>screenshot/Bug-09</t>
  </si>
  <si>
    <t xml:space="preserve">
WC-TC-0022</t>
  </si>
  <si>
    <t>Verify each seller independently meets the minimum net value</t>
  </si>
  <si>
    <t>recordings/Bug-10.mp4</t>
  </si>
  <si>
    <t xml:space="preserve">
WC-TC-0027</t>
  </si>
  <si>
    <t>screenshot/Bug-11</t>
  </si>
  <si>
    <t xml:space="preserve">
WC-TC-0034</t>
  </si>
  <si>
    <t>screenshot/Bug-12</t>
  </si>
  <si>
    <t xml:space="preserve">
WC-TC-0040</t>
  </si>
  <si>
    <t>screenshot/Bug-13</t>
  </si>
  <si>
    <t xml:space="preserve">
WC-TC-0041</t>
  </si>
  <si>
    <t>Bug-14</t>
  </si>
  <si>
    <t>screenshot/Bug-14</t>
  </si>
  <si>
    <t xml:space="preserve">
WC-TC-0049</t>
  </si>
  <si>
    <t>Bug-15</t>
  </si>
  <si>
    <t>recordings/Bug-15.mp4</t>
  </si>
  <si>
    <t xml:space="preserve">
WC-TC-0048</t>
  </si>
  <si>
    <t>We are displaying the today afternoon slot but we should not display it.</t>
  </si>
  <si>
    <t>screenshot/Bug-16</t>
  </si>
  <si>
    <t xml:space="preserve">
WC-TC-0038</t>
  </si>
  <si>
    <t>screenshot/Bug-17</t>
  </si>
  <si>
    <t xml:space="preserve">
WC-TC-0054</t>
  </si>
  <si>
    <t>screenshot/Bug-18</t>
  </si>
  <si>
    <t xml:space="preserve">
WC-TC-0057</t>
  </si>
  <si>
    <t>recordings/Bug-19.mp4</t>
  </si>
  <si>
    <t>WC-TC-0062
WC-TC-0065
WC-TC-0064
WC-TC-0061, WC-TC-0065</t>
  </si>
  <si>
    <t>screenshot/Bug-20</t>
  </si>
  <si>
    <t>S.No.</t>
  </si>
  <si>
    <t>Suggessions</t>
  </si>
  <si>
    <t>In the Checkout page, it is better to have a remove button for the products added in the cart</t>
  </si>
  <si>
    <t>In the Order Page, On cancelling the order it is better to displayed the confirmation popup</t>
  </si>
  <si>
    <t>In the Checkout page, we can display slot on selecting the date itself, also we can show/hide the show slot button</t>
  </si>
  <si>
    <t>Order Details page, After cancelling the order it is better to not display the cancel order button.</t>
  </si>
  <si>
    <t xml:space="preserve">S.No </t>
  </si>
  <si>
    <t>Requirment</t>
  </si>
  <si>
    <t>ACtual</t>
  </si>
  <si>
    <t>In the cart page, Quantities should be in dropdown.</t>
  </si>
  <si>
    <t>But we keep the textbox same as like in the product details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</si>
</sst>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5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i/>
      <sz val="11"/>
      <color rgb="FF555555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5FD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64E63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0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11" borderId="8">
      <alignment vertical="center"/>
    </xf>
    <xf numFmtId="0" fontId="15" fillId="12" borderId="9">
      <alignment vertical="center"/>
    </xf>
    <xf numFmtId="0" fontId="16" fillId="12" borderId="8">
      <alignment vertical="center"/>
    </xf>
    <xf numFmtId="0" fontId="17" fillId="13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3" fillId="40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3" xfId="0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 readingOrder="1"/>
    </xf>
    <xf numFmtId="0" fontId="0" fillId="0" borderId="3" xfId="0" applyBorder="1" applyAlignment="1">
      <alignment vertical="top" wrapText="1"/>
    </xf>
    <xf numFmtId="0" fontId="2" fillId="4" borderId="4" xfId="0" applyFont="1" applyFill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3" fillId="4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80" fontId="0" fillId="0" borderId="4" xfId="0" applyNumberFormat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180" fontId="0" fillId="7" borderId="4" xfId="0" applyNumberFormat="1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180" fontId="0" fillId="8" borderId="4" xfId="0" applyNumberFormat="1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180" fontId="0" fillId="9" borderId="4" xfId="0" applyNumberFormat="1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0" borderId="4" xfId="0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4.4"/>
  <cols>
    <col min="1" max="1" width="34" customWidth="1"/>
    <col min="2" max="2" width="16" customWidth="1"/>
    <col min="3" max="3" width="20" customWidth="1"/>
    <col min="4" max="5" width="14" customWidth="1"/>
    <col min="6" max="6" width="22" customWidth="1"/>
    <col min="8" max="11" width="20" customWidth="1"/>
  </cols>
  <sheetData>
    <row r="1" ht="21" spans="1:8">
      <c r="A1" s="12" t="s">
        <v>0</v>
      </c>
    </row>
    <row r="2" spans="1:8">
      <c r="A2" s="13" t="s">
        <v>1</v>
      </c>
    </row>
    <row r="4" spans="1:8">
      <c r="A4" s="14" t="s">
        <v>2</v>
      </c>
    </row>
    <row r="5" spans="1:8">
      <c r="A5" s="15" t="s">
        <v>3</v>
      </c>
      <c r="B5" s="15" t="s">
        <v>4</v>
      </c>
      <c r="C5" s="15" t="s">
        <v>5</v>
      </c>
    </row>
    <row r="6" spans="1:8">
      <c r="A6" s="16" t="s">
        <v>6</v>
      </c>
      <c r="B6" s="16">
        <f>COUNTA('Functional Test Cases'!A2:A1000)</f>
        <v>76</v>
      </c>
      <c r="C6" s="17">
        <f t="shared" ref="C6:C12" si="0">IFERROR(B6/$B$6,0)</f>
        <v>1</v>
      </c>
    </row>
    <row r="7" spans="1:8">
      <c r="A7" s="18" t="s">
        <v>7</v>
      </c>
      <c r="B7" s="18">
        <f>COUNTIF('Functional Test Cases'!M2:M1000,"PASS")</f>
        <v>45</v>
      </c>
      <c r="C7" s="19">
        <f t="shared" si="0"/>
        <v>0.592105263157895</v>
      </c>
    </row>
    <row r="8" spans="1:8">
      <c r="A8" s="20" t="s">
        <v>8</v>
      </c>
      <c r="B8" s="20">
        <f>COUNTIF('Functional Test Cases'!M2:M1000,"FAIL")</f>
        <v>27</v>
      </c>
      <c r="C8" s="21">
        <f t="shared" si="0"/>
        <v>0.355263157894737</v>
      </c>
    </row>
    <row r="9" spans="1:8">
      <c r="A9" s="22" t="s">
        <v>9</v>
      </c>
      <c r="B9" s="22">
        <f>COUNTIF('Functional Test Cases'!M2:M1000,"Not Run")+COUNTIF('Functional Test Cases'!M2:M1000,"NOT RUN")</f>
        <v>8</v>
      </c>
      <c r="C9" s="23">
        <f t="shared" si="0"/>
        <v>0.105263157894737</v>
      </c>
    </row>
    <row r="10" spans="1:8">
      <c r="A10" s="16" t="s">
        <v>10</v>
      </c>
      <c r="B10" s="16">
        <f>COUNTIF('Functional Test Cases'!M2:M1000,"Blocked")+COUNTIF('Functional Test Cases'!M2:M1000,"BLOCKED")</f>
        <v>0</v>
      </c>
      <c r="C10" s="17">
        <f t="shared" si="0"/>
        <v>0</v>
      </c>
    </row>
    <row r="11" spans="1:8">
      <c r="A11" s="16" t="s">
        <v>11</v>
      </c>
      <c r="B11" s="16">
        <f>MAX(0,B6-SUM(B7:B10))</f>
        <v>0</v>
      </c>
      <c r="C11" s="17">
        <f t="shared" si="0"/>
        <v>0</v>
      </c>
    </row>
    <row r="12" spans="1:8">
      <c r="A12" s="16" t="s">
        <v>12</v>
      </c>
      <c r="B12" s="16">
        <f>B7+B8</f>
        <v>72</v>
      </c>
      <c r="C12" s="17">
        <f t="shared" si="0"/>
        <v>0.947368421052632</v>
      </c>
    </row>
    <row r="13" spans="1:8">
      <c r="A13" s="16" t="s">
        <v>13</v>
      </c>
      <c r="B13" s="16">
        <f>IFERROR(B7/B12,0)</f>
        <v>0.625</v>
      </c>
      <c r="C13" s="17">
        <f>IFERROR(B7/B12,0)</f>
        <v>0.625</v>
      </c>
    </row>
    <row r="16" spans="1:8">
      <c r="A16" s="14" t="s">
        <v>14</v>
      </c>
      <c r="H16" s="14" t="s">
        <v>15</v>
      </c>
    </row>
    <row r="17" spans="1:11">
      <c r="A17" s="15" t="s">
        <v>16</v>
      </c>
      <c r="B17" s="15" t="s">
        <v>17</v>
      </c>
      <c r="C17" s="15" t="s">
        <v>18</v>
      </c>
      <c r="D17" s="15" t="s">
        <v>19</v>
      </c>
      <c r="E17" s="15" t="s">
        <v>9</v>
      </c>
      <c r="F17" s="15" t="s">
        <v>20</v>
      </c>
      <c r="H17" s="16" t="s">
        <v>21</v>
      </c>
      <c r="I17" s="16" t="s">
        <v>17</v>
      </c>
      <c r="J17" s="16" t="s">
        <v>18</v>
      </c>
      <c r="K17" s="16" t="s">
        <v>19</v>
      </c>
    </row>
    <row r="18" spans="1:11">
      <c r="A18" s="16" t="s">
        <v>22</v>
      </c>
      <c r="B18" s="16">
        <f>COUNTIF('Functional Test Cases'!$B$2:$B$1000,A18)</f>
        <v>5</v>
      </c>
      <c r="C18" s="16">
        <f>COUNTIFS('Functional Test Cases'!$B$2:$B$1000,A18,'Functional Test Cases'!$M$2:$M$1000,"PASS")</f>
        <v>3</v>
      </c>
      <c r="D18" s="16">
        <f>COUNTIFS('Functional Test Cases'!$B$2:$B$1000,A18,'Functional Test Cases'!$M$2:$M$1000,"FAIL")</f>
        <v>2</v>
      </c>
      <c r="E18" s="16">
        <f>COUNTIFS('Functional Test Cases'!$B$2:$B$1000,A18,'Functional Test Cases'!$M$2:$M$1000,"Not Run")+COUNTIFS('Functional Test Cases'!$B$2:$B$1000,A18,'Functional Test Cases'!$M$2:$M$1000,"NOT RUN")</f>
        <v>0</v>
      </c>
      <c r="F18" s="17">
        <f t="shared" ref="F18:F31" si="1">IFERROR(C18/(C18+D18),0)</f>
        <v>0.6</v>
      </c>
      <c r="H18" s="16" t="s">
        <v>23</v>
      </c>
      <c r="I18" s="16">
        <f>COUNTIF('Functional Test Cases'!$N$2:$N$1000,H18)</f>
        <v>16</v>
      </c>
      <c r="J18" s="16">
        <f>COUNTIFS('Functional Test Cases'!$N$2:$N$1000,H18,'Functional Test Cases'!$M$2:$M$1000,"PASS")</f>
        <v>8</v>
      </c>
      <c r="K18" s="16">
        <f>COUNTIFS('Functional Test Cases'!$N$2:$N$1000,H18,'Functional Test Cases'!$M$2:$M$1000,"FAIL")</f>
        <v>8</v>
      </c>
    </row>
    <row r="19" spans="1:11">
      <c r="A19" s="16" t="s">
        <v>24</v>
      </c>
      <c r="B19" s="16">
        <f>COUNTIF('Functional Test Cases'!$B$2:$B$1000,A19)</f>
        <v>4</v>
      </c>
      <c r="C19" s="16">
        <f>COUNTIFS('Functional Test Cases'!$B$2:$B$1000,A19,'Functional Test Cases'!$M$2:$M$1000,"PASS")</f>
        <v>2</v>
      </c>
      <c r="D19" s="16">
        <f>COUNTIFS('Functional Test Cases'!$B$2:$B$1000,A19,'Functional Test Cases'!$M$2:$M$1000,"FAIL")</f>
        <v>2</v>
      </c>
      <c r="E19" s="16">
        <f>COUNTIFS('Functional Test Cases'!$B$2:$B$1000,A19,'Functional Test Cases'!$M$2:$M$1000,"Not Run")+COUNTIFS('Functional Test Cases'!$B$2:$B$1000,A19,'Functional Test Cases'!$M$2:$M$1000,"NOT RUN")</f>
        <v>0</v>
      </c>
      <c r="F19" s="17">
        <f t="shared" si="1"/>
        <v>0.5</v>
      </c>
      <c r="H19" s="16" t="s">
        <v>25</v>
      </c>
      <c r="I19" s="16">
        <f>COUNTIF('Functional Test Cases'!$N$2:$N$1000,H19)</f>
        <v>52</v>
      </c>
      <c r="J19" s="16">
        <f>COUNTIFS('Functional Test Cases'!$N$2:$N$1000,H19,'Functional Test Cases'!$M$2:$M$1000,"PASS")</f>
        <v>35</v>
      </c>
      <c r="K19" s="16">
        <f>COUNTIFS('Functional Test Cases'!$N$2:$N$1000,H19,'Functional Test Cases'!$M$2:$M$1000,"FAIL")</f>
        <v>13</v>
      </c>
    </row>
    <row r="20" spans="1:11">
      <c r="A20" s="16" t="s">
        <v>26</v>
      </c>
      <c r="B20" s="16">
        <f>COUNTIF('Functional Test Cases'!$B$2:$B$1000,A20)</f>
        <v>10</v>
      </c>
      <c r="C20" s="16">
        <f>COUNTIFS('Functional Test Cases'!$B$2:$B$1000,A20,'Functional Test Cases'!$M$2:$M$1000,"PASS")</f>
        <v>6</v>
      </c>
      <c r="D20" s="16">
        <f>COUNTIFS('Functional Test Cases'!$B$2:$B$1000,A20,'Functional Test Cases'!$M$2:$M$1000,"FAIL")</f>
        <v>4</v>
      </c>
      <c r="E20" s="16">
        <f>COUNTIFS('Functional Test Cases'!$B$2:$B$1000,A20,'Functional Test Cases'!$M$2:$M$1000,"Not Run")+COUNTIFS('Functional Test Cases'!$B$2:$B$1000,A20,'Functional Test Cases'!$M$2:$M$1000,"NOT RUN")</f>
        <v>0</v>
      </c>
      <c r="F20" s="17">
        <f t="shared" si="1"/>
        <v>0.6</v>
      </c>
      <c r="H20" s="16" t="s">
        <v>27</v>
      </c>
      <c r="I20" s="16">
        <f>COUNTIF('Functional Test Cases'!$N$2:$N$1000,H20)</f>
        <v>1</v>
      </c>
      <c r="J20" s="16">
        <f>COUNTIFS('Functional Test Cases'!$N$2:$N$1000,H20,'Functional Test Cases'!$M$2:$M$1000,"PASS")</f>
        <v>0</v>
      </c>
      <c r="K20" s="16">
        <f>COUNTIFS('Functional Test Cases'!$N$2:$N$1000,H20,'Functional Test Cases'!$M$2:$M$1000,"FAIL")</f>
        <v>1</v>
      </c>
    </row>
    <row r="21" spans="1:11">
      <c r="A21" s="16" t="s">
        <v>28</v>
      </c>
      <c r="B21" s="16">
        <f>COUNTIF('Functional Test Cases'!$B$2:$B$1000,A21)</f>
        <v>9</v>
      </c>
      <c r="C21" s="16">
        <f>COUNTIFS('Functional Test Cases'!$B$2:$B$1000,A21,'Functional Test Cases'!$M$2:$M$1000,"PASS")</f>
        <v>5</v>
      </c>
      <c r="D21" s="16">
        <f>COUNTIFS('Functional Test Cases'!$B$2:$B$1000,A21,'Functional Test Cases'!$M$2:$M$1000,"FAIL")</f>
        <v>4</v>
      </c>
      <c r="E21" s="16">
        <f>COUNTIFS('Functional Test Cases'!$B$2:$B$1000,A21,'Functional Test Cases'!$M$2:$M$1000,"Not Run")+COUNTIFS('Functional Test Cases'!$B$2:$B$1000,A21,'Functional Test Cases'!$M$2:$M$1000,"NOT RUN")</f>
        <v>0</v>
      </c>
      <c r="F21" s="17">
        <f t="shared" si="1"/>
        <v>0.555555555555556</v>
      </c>
      <c r="H21" s="16" t="s">
        <v>29</v>
      </c>
      <c r="I21" s="16">
        <f>COUNTIF('Functional Test Cases'!$N$2:$N$1000,H21)</f>
        <v>7</v>
      </c>
      <c r="J21" s="16">
        <f>COUNTIFS('Functional Test Cases'!$N$2:$N$1000,H21,'Functional Test Cases'!$M$2:$M$1000,"PASS")</f>
        <v>2</v>
      </c>
      <c r="K21" s="16">
        <f>COUNTIFS('Functional Test Cases'!$N$2:$N$1000,H21,'Functional Test Cases'!$M$2:$M$1000,"FAIL")</f>
        <v>5</v>
      </c>
    </row>
    <row r="22" spans="1:11">
      <c r="A22" s="16" t="s">
        <v>30</v>
      </c>
      <c r="B22" s="16">
        <f>COUNTIF('Functional Test Cases'!$B$2:$B$1000,A22)</f>
        <v>19</v>
      </c>
      <c r="C22" s="16">
        <f>COUNTIFS('Functional Test Cases'!$B$2:$B$1000,A22,'Functional Test Cases'!$M$2:$M$1000,"PASS")</f>
        <v>13</v>
      </c>
      <c r="D22" s="16">
        <f>COUNTIFS('Functional Test Cases'!$B$2:$B$1000,A22,'Functional Test Cases'!$M$2:$M$1000,"FAIL")</f>
        <v>6</v>
      </c>
      <c r="E22" s="16">
        <f>COUNTIFS('Functional Test Cases'!$B$2:$B$1000,A22,'Functional Test Cases'!$M$2:$M$1000,"Not Run")+COUNTIFS('Functional Test Cases'!$B$2:$B$1000,A22,'Functional Test Cases'!$M$2:$M$1000,"NOT RUN")</f>
        <v>0</v>
      </c>
      <c r="F22" s="17">
        <f t="shared" si="1"/>
        <v>0.684210526315789</v>
      </c>
    </row>
    <row r="23" spans="1:11">
      <c r="A23" s="16" t="s">
        <v>31</v>
      </c>
      <c r="B23" s="16">
        <f>COUNTIF('Functional Test Cases'!$B$2:$B$1000,A23)</f>
        <v>3</v>
      </c>
      <c r="C23" s="16">
        <f>COUNTIFS('Functional Test Cases'!$B$2:$B$1000,A23,'Functional Test Cases'!$M$2:$M$1000,"PASS")</f>
        <v>2</v>
      </c>
      <c r="D23" s="16">
        <f>COUNTIFS('Functional Test Cases'!$B$2:$B$1000,A23,'Functional Test Cases'!$M$2:$M$1000,"FAIL")</f>
        <v>1</v>
      </c>
      <c r="E23" s="16">
        <f>COUNTIFS('Functional Test Cases'!$B$2:$B$1000,A23,'Functional Test Cases'!$M$2:$M$1000,"Not Run")+COUNTIFS('Functional Test Cases'!$B$2:$B$1000,A23,'Functional Test Cases'!$M$2:$M$1000,"NOT RUN")</f>
        <v>0</v>
      </c>
      <c r="F23" s="17">
        <f t="shared" si="1"/>
        <v>0.666666666666667</v>
      </c>
    </row>
    <row r="24" spans="1:11">
      <c r="A24" s="16" t="s">
        <v>32</v>
      </c>
      <c r="B24" s="16">
        <f>COUNTIF('Functional Test Cases'!$B$2:$B$1000,A24)</f>
        <v>3</v>
      </c>
      <c r="C24" s="16">
        <f>COUNTIFS('Functional Test Cases'!$B$2:$B$1000,A24,'Functional Test Cases'!$M$2:$M$1000,"PASS")</f>
        <v>1</v>
      </c>
      <c r="D24" s="16">
        <f>COUNTIFS('Functional Test Cases'!$B$2:$B$1000,A24,'Functional Test Cases'!$M$2:$M$1000,"FAIL")</f>
        <v>2</v>
      </c>
      <c r="E24" s="16">
        <f>COUNTIFS('Functional Test Cases'!$B$2:$B$1000,A24,'Functional Test Cases'!$M$2:$M$1000,"Not Run")+COUNTIFS('Functional Test Cases'!$B$2:$B$1000,A24,'Functional Test Cases'!$M$2:$M$1000,"NOT RUN")</f>
        <v>0</v>
      </c>
      <c r="F24" s="17">
        <f t="shared" si="1"/>
        <v>0.333333333333333</v>
      </c>
      <c r="H24" s="16" t="s">
        <v>33</v>
      </c>
    </row>
    <row r="25" spans="1:11">
      <c r="A25" s="16" t="s">
        <v>34</v>
      </c>
      <c r="B25" s="16">
        <f>COUNTIF('Functional Test Cases'!$B$2:$B$1000,A25)</f>
        <v>5</v>
      </c>
      <c r="C25" s="16">
        <f>COUNTIFS('Functional Test Cases'!$B$2:$B$1000,A25,'Functional Test Cases'!$M$2:$M$1000,"PASS")</f>
        <v>3</v>
      </c>
      <c r="D25" s="16">
        <f>COUNTIFS('Functional Test Cases'!$B$2:$B$1000,A25,'Functional Test Cases'!$M$2:$M$1000,"FAIL")</f>
        <v>1</v>
      </c>
      <c r="E25" s="16">
        <f>COUNTIFS('Functional Test Cases'!$B$2:$B$1000,A25,'Functional Test Cases'!$M$2:$M$1000,"Not Run")+COUNTIFS('Functional Test Cases'!$B$2:$B$1000,A25,'Functional Test Cases'!$M$2:$M$1000,"NOT RUN")</f>
        <v>2</v>
      </c>
      <c r="F25" s="17">
        <f t="shared" si="1"/>
        <v>0.75</v>
      </c>
      <c r="H25" s="24" t="s">
        <v>35</v>
      </c>
      <c r="I25" s="16" t="s">
        <v>4</v>
      </c>
    </row>
    <row r="26" spans="1:11">
      <c r="A26" s="16" t="s">
        <v>36</v>
      </c>
      <c r="B26" s="16">
        <f>COUNTIF('Functional Test Cases'!$B$2:$B$1000,A26)</f>
        <v>2</v>
      </c>
      <c r="C26" s="16">
        <f>COUNTIFS('Functional Test Cases'!$B$2:$B$1000,A26,'Functional Test Cases'!$M$2:$M$1000,"PASS")</f>
        <v>2</v>
      </c>
      <c r="D26" s="16">
        <f>COUNTIFS('Functional Test Cases'!$B$2:$B$1000,A26,'Functional Test Cases'!$M$2:$M$1000,"FAIL")</f>
        <v>0</v>
      </c>
      <c r="E26" s="16">
        <f>COUNTIFS('Functional Test Cases'!$B$2:$B$1000,A26,'Functional Test Cases'!$M$2:$M$1000,"Not Run")+COUNTIFS('Functional Test Cases'!$B$2:$B$1000,A26,'Functional Test Cases'!$M$2:$M$1000,"NOT RUN")</f>
        <v>0</v>
      </c>
      <c r="F26" s="17">
        <f t="shared" si="1"/>
        <v>1</v>
      </c>
      <c r="H26" s="16" t="s">
        <v>37</v>
      </c>
      <c r="I26" s="16">
        <f>COUNTIF(Bugs!$N$2:$N$1000,H26)</f>
        <v>20</v>
      </c>
    </row>
    <row r="27" spans="1:11">
      <c r="A27" s="16" t="s">
        <v>38</v>
      </c>
      <c r="B27" s="16">
        <f>COUNTIF('Functional Test Cases'!$B$2:$B$1000,A27)</f>
        <v>4</v>
      </c>
      <c r="C27" s="16">
        <f>COUNTIFS('Functional Test Cases'!$B$2:$B$1000,A27,'Functional Test Cases'!$M$2:$M$1000,"PASS")</f>
        <v>4</v>
      </c>
      <c r="D27" s="16">
        <f>COUNTIFS('Functional Test Cases'!$B$2:$B$1000,A27,'Functional Test Cases'!$M$2:$M$1000,"FAIL")</f>
        <v>0</v>
      </c>
      <c r="E27" s="16">
        <f>COUNTIFS('Functional Test Cases'!$B$2:$B$1000,A27,'Functional Test Cases'!$M$2:$M$1000,"Not Run")+COUNTIFS('Functional Test Cases'!$B$2:$B$1000,A27,'Functional Test Cases'!$M$2:$M$1000,"NOT RUN")</f>
        <v>0</v>
      </c>
      <c r="F27" s="17">
        <f t="shared" si="1"/>
        <v>1</v>
      </c>
    </row>
    <row r="28" spans="1:11">
      <c r="A28" s="16" t="s">
        <v>39</v>
      </c>
      <c r="B28" s="16">
        <f>COUNTIF('Functional Test Cases'!$B$2:$B$1000,A28)</f>
        <v>2</v>
      </c>
      <c r="C28" s="16">
        <f>COUNTIFS('Functional Test Cases'!$B$2:$B$1000,A28,'Functional Test Cases'!$M$2:$M$1000,"PASS")</f>
        <v>1</v>
      </c>
      <c r="D28" s="16">
        <f>COUNTIFS('Functional Test Cases'!$B$2:$B$1000,A28,'Functional Test Cases'!$M$2:$M$1000,"FAIL")</f>
        <v>1</v>
      </c>
      <c r="E28" s="16">
        <f>COUNTIFS('Functional Test Cases'!$B$2:$B$1000,A28,'Functional Test Cases'!$M$2:$M$1000,"Not Run")+COUNTIFS('Functional Test Cases'!$B$2:$B$1000,A28,'Functional Test Cases'!$M$2:$M$1000,"NOT RUN")</f>
        <v>0</v>
      </c>
      <c r="F28" s="17">
        <f t="shared" si="1"/>
        <v>0.5</v>
      </c>
    </row>
    <row r="29" spans="1:11">
      <c r="A29" s="16" t="s">
        <v>40</v>
      </c>
      <c r="B29" s="16">
        <f>COUNTIF('Functional Test Cases'!$B$2:$B$1000,A29)</f>
        <v>5</v>
      </c>
      <c r="C29" s="16">
        <f>COUNTIFS('Functional Test Cases'!$B$2:$B$1000,A29,'Functional Test Cases'!$M$2:$M$1000,"PASS")</f>
        <v>1</v>
      </c>
      <c r="D29" s="16">
        <f>COUNTIFS('Functional Test Cases'!$B$2:$B$1000,A29,'Functional Test Cases'!$M$2:$M$1000,"FAIL")</f>
        <v>4</v>
      </c>
      <c r="E29" s="16">
        <f>COUNTIFS('Functional Test Cases'!$B$2:$B$1000,A29,'Functional Test Cases'!$M$2:$M$1000,"Not Run")+COUNTIFS('Functional Test Cases'!$B$2:$B$1000,A29,'Functional Test Cases'!$M$2:$M$1000,"NOT RUN")</f>
        <v>0</v>
      </c>
      <c r="F29" s="17">
        <f t="shared" si="1"/>
        <v>0.2</v>
      </c>
    </row>
    <row r="30" spans="1:11">
      <c r="A30" s="16" t="s">
        <v>41</v>
      </c>
      <c r="B30" s="16">
        <f>COUNTIF('Functional Test Cases'!$B$2:$B$1000,A30)</f>
        <v>2</v>
      </c>
      <c r="C30" s="16">
        <f>COUNTIFS('Functional Test Cases'!$B$2:$B$1000,A30,'Functional Test Cases'!$M$2:$M$1000,"PASS")</f>
        <v>2</v>
      </c>
      <c r="D30" s="16">
        <f>COUNTIFS('Functional Test Cases'!$B$2:$B$1000,A30,'Functional Test Cases'!$M$2:$M$1000,"FAIL")</f>
        <v>0</v>
      </c>
      <c r="E30" s="16">
        <f>COUNTIFS('Functional Test Cases'!$B$2:$B$1000,A30,'Functional Test Cases'!$M$2:$M$1000,"Not Run")+COUNTIFS('Functional Test Cases'!$B$2:$B$1000,A30,'Functional Test Cases'!$M$2:$M$1000,"NOT RUN")</f>
        <v>0</v>
      </c>
      <c r="F30" s="17">
        <f t="shared" si="1"/>
        <v>1</v>
      </c>
    </row>
    <row r="31" spans="1:11">
      <c r="A31" s="16" t="s">
        <v>42</v>
      </c>
      <c r="B31" s="16">
        <f>COUNTIF('Functional Test Cases'!$B$2:$B$1000,A31)</f>
        <v>3</v>
      </c>
      <c r="C31" s="16">
        <f>COUNTIFS('Functional Test Cases'!$B$2:$B$1000,A31,'Functional Test Cases'!$M$2:$M$1000,"PASS")</f>
        <v>0</v>
      </c>
      <c r="D31" s="16">
        <f>COUNTIFS('Functional Test Cases'!$B$2:$B$1000,A31,'Functional Test Cases'!$M$2:$M$1000,"FAIL")</f>
        <v>0</v>
      </c>
      <c r="E31" s="16">
        <f>COUNTIFS('Functional Test Cases'!$B$2:$B$1000,A31,'Functional Test Cases'!$M$2:$M$1000,"Not Run")+COUNTIFS('Functional Test Cases'!$B$2:$B$1000,A31,'Functional Test Cases'!$M$2:$M$1000,"NOT RUN")</f>
        <v>6</v>
      </c>
      <c r="F31" s="17">
        <f t="shared" si="1"/>
        <v>0</v>
      </c>
    </row>
  </sheetData>
  <mergeCells count="5">
    <mergeCell ref="A1:F1"/>
    <mergeCell ref="A2:F2"/>
    <mergeCell ref="A4:C4"/>
    <mergeCell ref="A16:F16"/>
    <mergeCell ref="H16:K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workbookViewId="0">
      <pane ySplit="1" topLeftCell="A2" activePane="bottomLeft" state="frozen"/>
      <selection/>
      <selection pane="bottomLeft" activeCell="G71" sqref="G71"/>
    </sheetView>
  </sheetViews>
  <sheetFormatPr defaultColWidth="9" defaultRowHeight="14.4"/>
  <cols>
    <col min="1" max="1" width="16" customWidth="1"/>
    <col min="2" max="2" width="23" customWidth="1"/>
    <col min="3" max="3" width="20" customWidth="1"/>
    <col min="4" max="4" width="38" customWidth="1"/>
    <col min="5" max="5" width="48" customWidth="1"/>
    <col min="6" max="6" width="42" customWidth="1"/>
    <col min="7" max="7" width="48" customWidth="1"/>
    <col min="8" max="8" width="34" customWidth="1"/>
    <col min="9" max="9" width="55" customWidth="1"/>
    <col min="10" max="10" width="29.6666666666667" customWidth="1"/>
    <col min="11" max="11" width="18" customWidth="1"/>
    <col min="12" max="12" width="24" customWidth="1"/>
    <col min="13" max="13" width="15" customWidth="1"/>
    <col min="14" max="15" width="14" customWidth="1"/>
  </cols>
  <sheetData>
    <row r="1" ht="32" customHeight="1" spans="1:15">
      <c r="A1" s="10" t="s">
        <v>43</v>
      </c>
      <c r="B1" s="10" t="s">
        <v>16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21</v>
      </c>
      <c r="O1" s="10" t="s">
        <v>55</v>
      </c>
    </row>
    <row r="2" ht="62" customHeight="1" spans="1:15">
      <c r="A2" s="11" t="s">
        <v>56</v>
      </c>
      <c r="B2" s="11" t="s">
        <v>22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1" t="s">
        <v>67</v>
      </c>
      <c r="N2" s="11" t="s">
        <v>23</v>
      </c>
      <c r="O2" s="11" t="s">
        <v>68</v>
      </c>
    </row>
    <row r="3" ht="62" customHeight="1" spans="1:15">
      <c r="A3" s="11" t="s">
        <v>69</v>
      </c>
      <c r="B3" s="11" t="s">
        <v>22</v>
      </c>
      <c r="C3" s="11" t="s">
        <v>57</v>
      </c>
      <c r="D3" s="11" t="s">
        <v>70</v>
      </c>
      <c r="E3" s="11" t="s">
        <v>71</v>
      </c>
      <c r="F3" s="11"/>
      <c r="G3" s="11" t="s">
        <v>72</v>
      </c>
      <c r="H3" s="11"/>
      <c r="I3" s="11" t="s">
        <v>73</v>
      </c>
      <c r="J3" s="11" t="s">
        <v>74</v>
      </c>
      <c r="K3" s="11" t="s">
        <v>75</v>
      </c>
      <c r="L3" s="11" t="s">
        <v>66</v>
      </c>
      <c r="M3" s="11" t="s">
        <v>76</v>
      </c>
      <c r="N3" s="11" t="s">
        <v>23</v>
      </c>
      <c r="O3" s="5" t="s">
        <v>77</v>
      </c>
    </row>
    <row r="4" ht="62" customHeight="1" spans="1:15">
      <c r="A4" s="11" t="s">
        <v>78</v>
      </c>
      <c r="B4" s="11" t="s">
        <v>22</v>
      </c>
      <c r="C4" s="11" t="s">
        <v>57</v>
      </c>
      <c r="D4" s="11" t="s">
        <v>79</v>
      </c>
      <c r="E4" s="11" t="s">
        <v>80</v>
      </c>
      <c r="F4" s="11" t="s">
        <v>81</v>
      </c>
      <c r="G4" s="11" t="s">
        <v>82</v>
      </c>
      <c r="H4" s="11" t="s">
        <v>83</v>
      </c>
      <c r="I4" s="11" t="s">
        <v>84</v>
      </c>
      <c r="J4" s="25" t="s">
        <v>85</v>
      </c>
      <c r="K4" s="11" t="s">
        <v>75</v>
      </c>
      <c r="L4" s="11" t="s">
        <v>66</v>
      </c>
      <c r="M4" s="11" t="s">
        <v>67</v>
      </c>
      <c r="N4" s="11" t="s">
        <v>25</v>
      </c>
      <c r="O4" s="11" t="s">
        <v>68</v>
      </c>
    </row>
    <row r="5" ht="62" customHeight="1" spans="1:15">
      <c r="A5" s="11" t="s">
        <v>86</v>
      </c>
      <c r="B5" s="11" t="s">
        <v>22</v>
      </c>
      <c r="C5" s="11" t="s">
        <v>57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25" t="s">
        <v>85</v>
      </c>
      <c r="K5" s="11" t="s">
        <v>75</v>
      </c>
      <c r="L5" s="11" t="s">
        <v>66</v>
      </c>
      <c r="M5" s="11" t="s">
        <v>67</v>
      </c>
      <c r="N5" s="11" t="s">
        <v>25</v>
      </c>
      <c r="O5" s="11" t="s">
        <v>68</v>
      </c>
    </row>
    <row r="6" ht="62" customHeight="1" spans="1:15">
      <c r="A6" s="11" t="s">
        <v>93</v>
      </c>
      <c r="B6" s="11" t="s">
        <v>22</v>
      </c>
      <c r="C6" s="11" t="s">
        <v>57</v>
      </c>
      <c r="D6" s="11" t="s">
        <v>94</v>
      </c>
      <c r="E6" s="11" t="s">
        <v>95</v>
      </c>
      <c r="F6" s="11" t="s">
        <v>96</v>
      </c>
      <c r="G6" s="11" t="s">
        <v>97</v>
      </c>
      <c r="H6" s="11" t="s">
        <v>98</v>
      </c>
      <c r="I6" s="11" t="s">
        <v>99</v>
      </c>
      <c r="J6" s="11" t="s">
        <v>100</v>
      </c>
      <c r="K6" s="11" t="s">
        <v>101</v>
      </c>
      <c r="L6" s="11" t="s">
        <v>66</v>
      </c>
      <c r="M6" s="11" t="s">
        <v>76</v>
      </c>
      <c r="N6" s="11" t="s">
        <v>23</v>
      </c>
      <c r="O6" s="5" t="s">
        <v>102</v>
      </c>
    </row>
    <row r="7" ht="62" customHeight="1" spans="1:15">
      <c r="A7" s="11" t="s">
        <v>103</v>
      </c>
      <c r="B7" s="11" t="s">
        <v>28</v>
      </c>
      <c r="C7" s="11" t="s">
        <v>104</v>
      </c>
      <c r="D7" s="11" t="s">
        <v>105</v>
      </c>
      <c r="E7" s="11" t="s">
        <v>106</v>
      </c>
      <c r="F7" s="11" t="s">
        <v>107</v>
      </c>
      <c r="G7" s="11" t="s">
        <v>108</v>
      </c>
      <c r="H7" s="11" t="s">
        <v>109</v>
      </c>
      <c r="I7" s="11" t="s">
        <v>110</v>
      </c>
      <c r="J7" s="11" t="s">
        <v>111</v>
      </c>
      <c r="K7" s="11" t="s">
        <v>112</v>
      </c>
      <c r="L7" s="11" t="s">
        <v>66</v>
      </c>
      <c r="M7" s="11" t="s">
        <v>76</v>
      </c>
      <c r="N7" s="11" t="s">
        <v>25</v>
      </c>
      <c r="O7" s="5" t="s">
        <v>113</v>
      </c>
    </row>
    <row r="8" ht="62" customHeight="1" spans="1:15">
      <c r="A8" s="11" t="s">
        <v>114</v>
      </c>
      <c r="B8" s="11" t="s">
        <v>28</v>
      </c>
      <c r="C8" s="11" t="s">
        <v>104</v>
      </c>
      <c r="D8" s="11" t="s">
        <v>115</v>
      </c>
      <c r="E8" s="11" t="s">
        <v>116</v>
      </c>
      <c r="F8" s="11" t="s">
        <v>117</v>
      </c>
      <c r="G8" s="11" t="s">
        <v>118</v>
      </c>
      <c r="H8" s="11" t="s">
        <v>119</v>
      </c>
      <c r="I8" s="11" t="s">
        <v>120</v>
      </c>
      <c r="J8" s="11" t="s">
        <v>121</v>
      </c>
      <c r="K8" s="11" t="s">
        <v>112</v>
      </c>
      <c r="L8" s="11" t="s">
        <v>66</v>
      </c>
      <c r="M8" s="11" t="s">
        <v>67</v>
      </c>
      <c r="N8" s="11" t="s">
        <v>29</v>
      </c>
      <c r="O8" s="11" t="s">
        <v>68</v>
      </c>
    </row>
    <row r="9" ht="62" customHeight="1" spans="1:15">
      <c r="A9" s="11" t="s">
        <v>122</v>
      </c>
      <c r="B9" s="11" t="s">
        <v>28</v>
      </c>
      <c r="C9" s="11" t="s">
        <v>104</v>
      </c>
      <c r="D9" s="11" t="s">
        <v>115</v>
      </c>
      <c r="E9" s="11" t="s">
        <v>123</v>
      </c>
      <c r="F9" s="11" t="s">
        <v>117</v>
      </c>
      <c r="G9" s="11" t="s">
        <v>118</v>
      </c>
      <c r="H9" s="11" t="s">
        <v>119</v>
      </c>
      <c r="I9" s="11" t="s">
        <v>120</v>
      </c>
      <c r="J9" s="11" t="s">
        <v>124</v>
      </c>
      <c r="K9" s="11" t="s">
        <v>112</v>
      </c>
      <c r="L9" s="11" t="s">
        <v>66</v>
      </c>
      <c r="M9" s="11" t="s">
        <v>76</v>
      </c>
      <c r="N9" s="11" t="s">
        <v>29</v>
      </c>
      <c r="O9" s="11" t="s">
        <v>125</v>
      </c>
    </row>
    <row r="10" ht="62" customHeight="1" spans="1:15">
      <c r="A10" s="11" t="s">
        <v>126</v>
      </c>
      <c r="B10" s="11" t="s">
        <v>28</v>
      </c>
      <c r="C10" s="11" t="s">
        <v>104</v>
      </c>
      <c r="D10" s="11" t="s">
        <v>127</v>
      </c>
      <c r="E10" s="11" t="s">
        <v>128</v>
      </c>
      <c r="F10" s="11" t="s">
        <v>129</v>
      </c>
      <c r="G10" s="11" t="s">
        <v>130</v>
      </c>
      <c r="H10" s="11" t="s">
        <v>131</v>
      </c>
      <c r="I10" s="11" t="s">
        <v>132</v>
      </c>
      <c r="J10" s="11" t="s">
        <v>133</v>
      </c>
      <c r="K10" s="11" t="s">
        <v>112</v>
      </c>
      <c r="L10" s="11" t="s">
        <v>66</v>
      </c>
      <c r="M10" s="11" t="s">
        <v>67</v>
      </c>
      <c r="N10" s="11" t="s">
        <v>29</v>
      </c>
      <c r="O10" s="11" t="s">
        <v>68</v>
      </c>
    </row>
    <row r="11" ht="62" customHeight="1" spans="1:15">
      <c r="A11" s="11" t="s">
        <v>134</v>
      </c>
      <c r="B11" s="11" t="s">
        <v>28</v>
      </c>
      <c r="C11" s="11" t="s">
        <v>104</v>
      </c>
      <c r="D11" s="11" t="s">
        <v>135</v>
      </c>
      <c r="E11" s="11" t="s">
        <v>136</v>
      </c>
      <c r="F11" s="11" t="s">
        <v>137</v>
      </c>
      <c r="G11" s="11" t="s">
        <v>138</v>
      </c>
      <c r="H11" s="11" t="s">
        <v>139</v>
      </c>
      <c r="I11" s="11" t="s">
        <v>140</v>
      </c>
      <c r="J11" s="11" t="s">
        <v>141</v>
      </c>
      <c r="K11" s="11" t="s">
        <v>112</v>
      </c>
      <c r="L11" s="11" t="s">
        <v>66</v>
      </c>
      <c r="M11" s="11" t="s">
        <v>76</v>
      </c>
      <c r="N11" s="11" t="s">
        <v>29</v>
      </c>
      <c r="O11" s="11" t="s">
        <v>142</v>
      </c>
    </row>
    <row r="12" ht="62" customHeight="1" spans="1:15">
      <c r="A12" s="11" t="s">
        <v>143</v>
      </c>
      <c r="B12" s="11" t="s">
        <v>28</v>
      </c>
      <c r="C12" s="11" t="s">
        <v>104</v>
      </c>
      <c r="D12" s="11" t="s">
        <v>144</v>
      </c>
      <c r="E12" s="11" t="s">
        <v>145</v>
      </c>
      <c r="F12" s="11" t="s">
        <v>146</v>
      </c>
      <c r="G12" s="11" t="s">
        <v>147</v>
      </c>
      <c r="H12" s="11" t="s">
        <v>148</v>
      </c>
      <c r="I12" s="11" t="s">
        <v>149</v>
      </c>
      <c r="J12" s="11" t="s">
        <v>150</v>
      </c>
      <c r="K12" s="11" t="s">
        <v>112</v>
      </c>
      <c r="L12" s="11" t="s">
        <v>66</v>
      </c>
      <c r="M12" s="11" t="s">
        <v>67</v>
      </c>
      <c r="N12" s="11" t="s">
        <v>25</v>
      </c>
      <c r="O12" s="11" t="s">
        <v>68</v>
      </c>
    </row>
    <row r="13" ht="62" customHeight="1" spans="1:15">
      <c r="A13" s="11" t="s">
        <v>151</v>
      </c>
      <c r="B13" s="11" t="s">
        <v>28</v>
      </c>
      <c r="C13" s="11" t="s">
        <v>104</v>
      </c>
      <c r="D13" s="11" t="s">
        <v>152</v>
      </c>
      <c r="E13" s="11" t="s">
        <v>153</v>
      </c>
      <c r="F13" s="11" t="s">
        <v>154</v>
      </c>
      <c r="G13" s="11" t="s">
        <v>155</v>
      </c>
      <c r="H13" s="11" t="s">
        <v>156</v>
      </c>
      <c r="I13" s="11" t="s">
        <v>157</v>
      </c>
      <c r="J13" s="11" t="s">
        <v>158</v>
      </c>
      <c r="K13" s="11" t="s">
        <v>112</v>
      </c>
      <c r="L13" s="11" t="s">
        <v>66</v>
      </c>
      <c r="M13" s="11" t="s">
        <v>67</v>
      </c>
      <c r="N13" s="11" t="s">
        <v>25</v>
      </c>
      <c r="O13" s="11" t="s">
        <v>68</v>
      </c>
    </row>
    <row r="14" ht="62" customHeight="1" spans="1:15">
      <c r="A14" s="11" t="s">
        <v>159</v>
      </c>
      <c r="B14" s="11" t="s">
        <v>28</v>
      </c>
      <c r="C14" s="11" t="s">
        <v>104</v>
      </c>
      <c r="D14" s="11" t="s">
        <v>160</v>
      </c>
      <c r="E14" s="11" t="s">
        <v>161</v>
      </c>
      <c r="F14" s="11" t="s">
        <v>162</v>
      </c>
      <c r="G14" s="11" t="s">
        <v>163</v>
      </c>
      <c r="H14" s="11" t="s">
        <v>131</v>
      </c>
      <c r="I14" s="11" t="s">
        <v>164</v>
      </c>
      <c r="J14" s="11" t="s">
        <v>165</v>
      </c>
      <c r="K14" s="11" t="s">
        <v>112</v>
      </c>
      <c r="L14" s="11" t="s">
        <v>66</v>
      </c>
      <c r="M14" s="11" t="s">
        <v>67</v>
      </c>
      <c r="N14" s="11" t="s">
        <v>25</v>
      </c>
      <c r="O14" s="11" t="s">
        <v>68</v>
      </c>
    </row>
    <row r="15" ht="62" customHeight="1" spans="1:15">
      <c r="A15" s="11" t="s">
        <v>166</v>
      </c>
      <c r="B15" s="11" t="s">
        <v>28</v>
      </c>
      <c r="C15" s="11" t="s">
        <v>104</v>
      </c>
      <c r="D15" s="11" t="s">
        <v>167</v>
      </c>
      <c r="E15" s="11" t="s">
        <v>168</v>
      </c>
      <c r="F15" s="11" t="s">
        <v>169</v>
      </c>
      <c r="G15" s="11" t="s">
        <v>170</v>
      </c>
      <c r="H15" s="11" t="s">
        <v>171</v>
      </c>
      <c r="I15" s="11" t="s">
        <v>172</v>
      </c>
      <c r="J15" s="11" t="s">
        <v>173</v>
      </c>
      <c r="K15" s="11" t="s">
        <v>112</v>
      </c>
      <c r="L15" s="11" t="s">
        <v>66</v>
      </c>
      <c r="M15" s="11" t="s">
        <v>76</v>
      </c>
      <c r="N15" s="11" t="s">
        <v>27</v>
      </c>
      <c r="O15" s="5" t="s">
        <v>174</v>
      </c>
    </row>
    <row r="16" ht="62" customHeight="1" spans="1:15">
      <c r="A16" s="11" t="s">
        <v>175</v>
      </c>
      <c r="B16" s="11" t="s">
        <v>26</v>
      </c>
      <c r="C16" s="11" t="s">
        <v>104</v>
      </c>
      <c r="D16" s="11" t="s">
        <v>176</v>
      </c>
      <c r="E16" s="11" t="s">
        <v>177</v>
      </c>
      <c r="F16" s="11" t="s">
        <v>178</v>
      </c>
      <c r="G16" s="11" t="s">
        <v>179</v>
      </c>
      <c r="H16" s="11" t="s">
        <v>180</v>
      </c>
      <c r="I16" s="11" t="s">
        <v>181</v>
      </c>
      <c r="J16" s="11" t="s">
        <v>182</v>
      </c>
      <c r="K16" s="11" t="s">
        <v>65</v>
      </c>
      <c r="L16" s="11" t="s">
        <v>66</v>
      </c>
      <c r="M16" s="11" t="s">
        <v>67</v>
      </c>
      <c r="N16" s="11" t="s">
        <v>23</v>
      </c>
      <c r="O16" s="11" t="s">
        <v>68</v>
      </c>
    </row>
    <row r="17" ht="62" customHeight="1" spans="1:15">
      <c r="A17" s="11" t="s">
        <v>183</v>
      </c>
      <c r="B17" s="11" t="s">
        <v>26</v>
      </c>
      <c r="C17" s="11" t="s">
        <v>104</v>
      </c>
      <c r="D17" s="11" t="s">
        <v>184</v>
      </c>
      <c r="E17" s="11" t="s">
        <v>185</v>
      </c>
      <c r="F17" s="11" t="s">
        <v>178</v>
      </c>
      <c r="G17" s="11" t="s">
        <v>186</v>
      </c>
      <c r="H17" s="11" t="s">
        <v>187</v>
      </c>
      <c r="I17" s="11" t="s">
        <v>188</v>
      </c>
      <c r="J17" s="11" t="s">
        <v>189</v>
      </c>
      <c r="K17" s="11" t="s">
        <v>112</v>
      </c>
      <c r="L17" s="11" t="s">
        <v>66</v>
      </c>
      <c r="M17" s="11" t="s">
        <v>67</v>
      </c>
      <c r="N17" s="11" t="s">
        <v>25</v>
      </c>
      <c r="O17" s="11" t="s">
        <v>68</v>
      </c>
    </row>
    <row r="18" ht="62" customHeight="1" spans="1:15">
      <c r="A18" s="11" t="s">
        <v>190</v>
      </c>
      <c r="B18" s="11" t="s">
        <v>26</v>
      </c>
      <c r="C18" s="11" t="s">
        <v>104</v>
      </c>
      <c r="D18" s="11" t="s">
        <v>191</v>
      </c>
      <c r="E18" s="11" t="s">
        <v>192</v>
      </c>
      <c r="F18" s="11" t="s">
        <v>193</v>
      </c>
      <c r="G18" s="11" t="s">
        <v>194</v>
      </c>
      <c r="H18" s="11" t="s">
        <v>195</v>
      </c>
      <c r="I18" s="11" t="s">
        <v>196</v>
      </c>
      <c r="J18" s="11" t="s">
        <v>197</v>
      </c>
      <c r="K18" s="11" t="s">
        <v>75</v>
      </c>
      <c r="L18" s="11" t="s">
        <v>66</v>
      </c>
      <c r="M18" s="11" t="s">
        <v>67</v>
      </c>
      <c r="N18" s="11" t="s">
        <v>25</v>
      </c>
      <c r="O18" s="11" t="s">
        <v>68</v>
      </c>
    </row>
    <row r="19" ht="62" customHeight="1" spans="1:15">
      <c r="A19" s="11" t="s">
        <v>198</v>
      </c>
      <c r="B19" s="11" t="s">
        <v>26</v>
      </c>
      <c r="C19" s="11" t="s">
        <v>104</v>
      </c>
      <c r="D19" s="11" t="s">
        <v>199</v>
      </c>
      <c r="E19" s="11" t="s">
        <v>200</v>
      </c>
      <c r="F19" s="11" t="s">
        <v>201</v>
      </c>
      <c r="G19" s="11" t="s">
        <v>202</v>
      </c>
      <c r="H19" s="11" t="s">
        <v>203</v>
      </c>
      <c r="I19" s="11" t="s">
        <v>204</v>
      </c>
      <c r="J19" s="11" t="s">
        <v>205</v>
      </c>
      <c r="K19" s="11" t="s">
        <v>112</v>
      </c>
      <c r="L19" s="11" t="s">
        <v>66</v>
      </c>
      <c r="M19" s="11" t="s">
        <v>76</v>
      </c>
      <c r="N19" s="11" t="s">
        <v>29</v>
      </c>
      <c r="O19" s="5" t="s">
        <v>206</v>
      </c>
    </row>
    <row r="20" ht="62" customHeight="1" spans="1:15">
      <c r="A20" s="11" t="s">
        <v>207</v>
      </c>
      <c r="B20" s="11" t="s">
        <v>26</v>
      </c>
      <c r="C20" s="11" t="s">
        <v>104</v>
      </c>
      <c r="D20" s="11" t="s">
        <v>208</v>
      </c>
      <c r="E20" s="11" t="s">
        <v>209</v>
      </c>
      <c r="F20" s="11" t="s">
        <v>201</v>
      </c>
      <c r="G20" s="11" t="s">
        <v>210</v>
      </c>
      <c r="H20" s="11"/>
      <c r="I20" s="11" t="s">
        <v>211</v>
      </c>
      <c r="J20" s="11" t="s">
        <v>212</v>
      </c>
      <c r="K20" s="11" t="s">
        <v>112</v>
      </c>
      <c r="L20" s="11" t="s">
        <v>66</v>
      </c>
      <c r="M20" s="11" t="s">
        <v>76</v>
      </c>
      <c r="N20" s="11" t="s">
        <v>29</v>
      </c>
      <c r="O20" s="5" t="s">
        <v>213</v>
      </c>
    </row>
    <row r="21" ht="62" customHeight="1" spans="1:15">
      <c r="A21" s="11" t="s">
        <v>214</v>
      </c>
      <c r="B21" s="11" t="s">
        <v>26</v>
      </c>
      <c r="C21" s="11" t="s">
        <v>104</v>
      </c>
      <c r="D21" s="11" t="s">
        <v>215</v>
      </c>
      <c r="E21" s="11" t="s">
        <v>216</v>
      </c>
      <c r="F21" s="11" t="s">
        <v>193</v>
      </c>
      <c r="G21" s="11" t="s">
        <v>217</v>
      </c>
      <c r="H21" s="11"/>
      <c r="I21" s="11" t="s">
        <v>211</v>
      </c>
      <c r="J21" s="11" t="s">
        <v>212</v>
      </c>
      <c r="K21" s="11" t="s">
        <v>112</v>
      </c>
      <c r="L21" s="11" t="s">
        <v>66</v>
      </c>
      <c r="M21" s="11" t="s">
        <v>76</v>
      </c>
      <c r="N21" s="11" t="s">
        <v>25</v>
      </c>
      <c r="O21" s="5" t="s">
        <v>213</v>
      </c>
    </row>
    <row r="22" ht="62" customHeight="1" spans="1:15">
      <c r="A22" s="11" t="s">
        <v>218</v>
      </c>
      <c r="B22" s="11" t="s">
        <v>26</v>
      </c>
      <c r="C22" s="11" t="s">
        <v>104</v>
      </c>
      <c r="D22" s="11" t="s">
        <v>219</v>
      </c>
      <c r="E22" s="11" t="s">
        <v>220</v>
      </c>
      <c r="F22" s="11" t="s">
        <v>193</v>
      </c>
      <c r="G22" s="11" t="s">
        <v>221</v>
      </c>
      <c r="H22" s="11" t="s">
        <v>222</v>
      </c>
      <c r="I22" s="11" t="s">
        <v>223</v>
      </c>
      <c r="J22" s="11" t="s">
        <v>224</v>
      </c>
      <c r="K22" s="11" t="s">
        <v>112</v>
      </c>
      <c r="L22" s="11" t="s">
        <v>66</v>
      </c>
      <c r="M22" s="11" t="s">
        <v>67</v>
      </c>
      <c r="N22" s="11" t="s">
        <v>25</v>
      </c>
      <c r="O22" s="11" t="s">
        <v>68</v>
      </c>
    </row>
    <row r="23" ht="62" customHeight="1" spans="1:15">
      <c r="A23" s="11" t="s">
        <v>225</v>
      </c>
      <c r="B23" s="11" t="s">
        <v>26</v>
      </c>
      <c r="C23" s="11" t="s">
        <v>104</v>
      </c>
      <c r="D23" s="11" t="s">
        <v>226</v>
      </c>
      <c r="E23" s="11" t="s">
        <v>227</v>
      </c>
      <c r="F23" s="11" t="s">
        <v>228</v>
      </c>
      <c r="G23" s="11" t="s">
        <v>229</v>
      </c>
      <c r="H23" s="11" t="s">
        <v>230</v>
      </c>
      <c r="I23" s="11" t="s">
        <v>231</v>
      </c>
      <c r="J23" s="11" t="s">
        <v>232</v>
      </c>
      <c r="K23" s="11" t="s">
        <v>75</v>
      </c>
      <c r="L23" s="11" t="s">
        <v>66</v>
      </c>
      <c r="M23" s="11" t="s">
        <v>76</v>
      </c>
      <c r="N23" s="11" t="s">
        <v>25</v>
      </c>
      <c r="O23" s="11" t="s">
        <v>233</v>
      </c>
    </row>
    <row r="24" ht="62" customHeight="1" spans="1:15">
      <c r="A24" s="11" t="s">
        <v>234</v>
      </c>
      <c r="B24" s="11" t="s">
        <v>26</v>
      </c>
      <c r="C24" s="11" t="s">
        <v>104</v>
      </c>
      <c r="D24" s="11" t="s">
        <v>235</v>
      </c>
      <c r="E24" s="11" t="s">
        <v>236</v>
      </c>
      <c r="F24" s="11" t="s">
        <v>237</v>
      </c>
      <c r="G24" s="11" t="s">
        <v>238</v>
      </c>
      <c r="H24" s="11" t="s">
        <v>239</v>
      </c>
      <c r="I24" s="11" t="s">
        <v>240</v>
      </c>
      <c r="J24" s="11" t="s">
        <v>241</v>
      </c>
      <c r="K24" s="11" t="s">
        <v>112</v>
      </c>
      <c r="L24" s="11" t="s">
        <v>66</v>
      </c>
      <c r="M24" s="11" t="s">
        <v>67</v>
      </c>
      <c r="N24" s="11" t="s">
        <v>25</v>
      </c>
      <c r="O24" s="11" t="s">
        <v>68</v>
      </c>
    </row>
    <row r="25" ht="62" customHeight="1" spans="1:15">
      <c r="A25" s="11" t="s">
        <v>242</v>
      </c>
      <c r="B25" s="11" t="s">
        <v>26</v>
      </c>
      <c r="C25" s="11" t="s">
        <v>104</v>
      </c>
      <c r="D25" s="11" t="s">
        <v>243</v>
      </c>
      <c r="E25" s="11" t="s">
        <v>244</v>
      </c>
      <c r="F25" s="11" t="s">
        <v>245</v>
      </c>
      <c r="G25" s="11" t="s">
        <v>246</v>
      </c>
      <c r="H25" s="11" t="s">
        <v>247</v>
      </c>
      <c r="I25" s="11" t="s">
        <v>248</v>
      </c>
      <c r="J25" s="11" t="s">
        <v>248</v>
      </c>
      <c r="K25" s="11" t="s">
        <v>112</v>
      </c>
      <c r="L25" s="11" t="s">
        <v>66</v>
      </c>
      <c r="M25" s="11" t="s">
        <v>67</v>
      </c>
      <c r="N25" s="11" t="s">
        <v>25</v>
      </c>
      <c r="O25" s="11" t="s">
        <v>68</v>
      </c>
    </row>
    <row r="26" ht="62" customHeight="1" spans="1:15">
      <c r="A26" s="11" t="s">
        <v>249</v>
      </c>
      <c r="B26" s="11" t="s">
        <v>30</v>
      </c>
      <c r="C26" s="11" t="s">
        <v>104</v>
      </c>
      <c r="D26" s="11" t="s">
        <v>250</v>
      </c>
      <c r="E26" s="11" t="s">
        <v>251</v>
      </c>
      <c r="F26" s="11" t="s">
        <v>252</v>
      </c>
      <c r="G26" s="11" t="s">
        <v>253</v>
      </c>
      <c r="H26" s="11" t="s">
        <v>254</v>
      </c>
      <c r="I26" s="11" t="s">
        <v>255</v>
      </c>
      <c r="J26" s="11" t="s">
        <v>256</v>
      </c>
      <c r="K26" s="11" t="s">
        <v>257</v>
      </c>
      <c r="L26" s="11" t="s">
        <v>66</v>
      </c>
      <c r="M26" s="11" t="s">
        <v>67</v>
      </c>
      <c r="N26" s="11" t="s">
        <v>23</v>
      </c>
      <c r="O26" s="11" t="s">
        <v>68</v>
      </c>
    </row>
    <row r="27" ht="62" customHeight="1" spans="1:15">
      <c r="A27" s="11" t="s">
        <v>258</v>
      </c>
      <c r="B27" s="11" t="s">
        <v>30</v>
      </c>
      <c r="C27" s="11" t="s">
        <v>104</v>
      </c>
      <c r="D27" s="11" t="s">
        <v>259</v>
      </c>
      <c r="E27" s="11" t="s">
        <v>260</v>
      </c>
      <c r="F27" s="11" t="s">
        <v>261</v>
      </c>
      <c r="G27" s="11" t="s">
        <v>262</v>
      </c>
      <c r="H27" s="11" t="s">
        <v>263</v>
      </c>
      <c r="I27" s="11" t="s">
        <v>264</v>
      </c>
      <c r="J27" s="11" t="s">
        <v>265</v>
      </c>
      <c r="K27" s="11" t="s">
        <v>75</v>
      </c>
      <c r="L27" s="11" t="s">
        <v>66</v>
      </c>
      <c r="M27" s="11" t="s">
        <v>67</v>
      </c>
      <c r="N27" s="11" t="s">
        <v>23</v>
      </c>
      <c r="O27" s="11" t="s">
        <v>68</v>
      </c>
    </row>
    <row r="28" ht="62" customHeight="1" spans="1:15">
      <c r="A28" s="11" t="s">
        <v>266</v>
      </c>
      <c r="B28" s="11" t="s">
        <v>30</v>
      </c>
      <c r="C28" s="11" t="s">
        <v>104</v>
      </c>
      <c r="D28" s="11" t="s">
        <v>267</v>
      </c>
      <c r="E28" s="11" t="s">
        <v>268</v>
      </c>
      <c r="F28" s="11" t="s">
        <v>269</v>
      </c>
      <c r="G28" s="11" t="s">
        <v>270</v>
      </c>
      <c r="H28" s="11" t="s">
        <v>271</v>
      </c>
      <c r="I28" s="11" t="s">
        <v>272</v>
      </c>
      <c r="J28" s="11" t="s">
        <v>273</v>
      </c>
      <c r="K28" s="11" t="s">
        <v>75</v>
      </c>
      <c r="L28" s="11" t="s">
        <v>66</v>
      </c>
      <c r="M28" s="11" t="s">
        <v>76</v>
      </c>
      <c r="N28" s="11" t="s">
        <v>23</v>
      </c>
      <c r="O28" s="11" t="s">
        <v>274</v>
      </c>
    </row>
    <row r="29" ht="62" customHeight="1" spans="1:15">
      <c r="A29" s="11" t="s">
        <v>275</v>
      </c>
      <c r="B29" s="11" t="s">
        <v>30</v>
      </c>
      <c r="C29" s="11" t="s">
        <v>104</v>
      </c>
      <c r="D29" s="11" t="s">
        <v>276</v>
      </c>
      <c r="E29" s="11" t="s">
        <v>277</v>
      </c>
      <c r="F29" s="11" t="s">
        <v>278</v>
      </c>
      <c r="G29" s="11" t="s">
        <v>279</v>
      </c>
      <c r="H29" s="11" t="s">
        <v>280</v>
      </c>
      <c r="I29" s="11" t="s">
        <v>281</v>
      </c>
      <c r="J29" s="11" t="s">
        <v>282</v>
      </c>
      <c r="K29" s="11" t="s">
        <v>112</v>
      </c>
      <c r="L29" s="11" t="s">
        <v>66</v>
      </c>
      <c r="M29" s="11" t="s">
        <v>67</v>
      </c>
      <c r="N29" s="11" t="s">
        <v>25</v>
      </c>
      <c r="O29" s="11" t="s">
        <v>68</v>
      </c>
    </row>
    <row r="30" ht="62" customHeight="1" spans="1:15">
      <c r="A30" s="11" t="s">
        <v>283</v>
      </c>
      <c r="B30" s="11" t="s">
        <v>30</v>
      </c>
      <c r="C30" s="11" t="s">
        <v>104</v>
      </c>
      <c r="D30" s="11" t="s">
        <v>284</v>
      </c>
      <c r="E30" s="11" t="s">
        <v>285</v>
      </c>
      <c r="F30" s="11" t="s">
        <v>286</v>
      </c>
      <c r="G30" s="11" t="s">
        <v>287</v>
      </c>
      <c r="H30" s="11" t="s">
        <v>288</v>
      </c>
      <c r="I30" s="11" t="s">
        <v>289</v>
      </c>
      <c r="J30" s="11" t="s">
        <v>290</v>
      </c>
      <c r="K30" s="11" t="s">
        <v>291</v>
      </c>
      <c r="L30" s="11" t="s">
        <v>66</v>
      </c>
      <c r="M30" s="11" t="s">
        <v>67</v>
      </c>
      <c r="N30" s="11" t="s">
        <v>23</v>
      </c>
      <c r="O30" s="11" t="s">
        <v>68</v>
      </c>
    </row>
    <row r="31" ht="62" customHeight="1" spans="1:15">
      <c r="A31" s="11" t="s">
        <v>292</v>
      </c>
      <c r="B31" s="11" t="s">
        <v>30</v>
      </c>
      <c r="C31" s="11" t="s">
        <v>104</v>
      </c>
      <c r="D31" s="11" t="s">
        <v>293</v>
      </c>
      <c r="E31" s="11" t="s">
        <v>294</v>
      </c>
      <c r="F31" s="11" t="s">
        <v>295</v>
      </c>
      <c r="G31" s="11" t="s">
        <v>296</v>
      </c>
      <c r="H31" s="11" t="s">
        <v>297</v>
      </c>
      <c r="I31" s="11" t="s">
        <v>298</v>
      </c>
      <c r="J31" s="11" t="s">
        <v>290</v>
      </c>
      <c r="K31" s="11" t="s">
        <v>112</v>
      </c>
      <c r="L31" s="11" t="s">
        <v>66</v>
      </c>
      <c r="M31" s="11" t="s">
        <v>67</v>
      </c>
      <c r="N31" s="11" t="s">
        <v>25</v>
      </c>
      <c r="O31" s="11" t="s">
        <v>68</v>
      </c>
    </row>
    <row r="32" ht="62" customHeight="1" spans="1:15">
      <c r="A32" s="11" t="s">
        <v>299</v>
      </c>
      <c r="B32" s="11" t="s">
        <v>30</v>
      </c>
      <c r="C32" s="11" t="s">
        <v>104</v>
      </c>
      <c r="D32" s="11" t="s">
        <v>300</v>
      </c>
      <c r="E32" s="11" t="s">
        <v>301</v>
      </c>
      <c r="F32" s="11" t="s">
        <v>302</v>
      </c>
      <c r="G32" s="11" t="s">
        <v>303</v>
      </c>
      <c r="H32" s="11" t="s">
        <v>304</v>
      </c>
      <c r="I32" s="11" t="s">
        <v>305</v>
      </c>
      <c r="J32" s="11" t="s">
        <v>306</v>
      </c>
      <c r="K32" s="11" t="s">
        <v>112</v>
      </c>
      <c r="L32" s="11" t="s">
        <v>66</v>
      </c>
      <c r="M32" s="11" t="s">
        <v>67</v>
      </c>
      <c r="N32" s="11" t="s">
        <v>25</v>
      </c>
      <c r="O32" s="11" t="s">
        <v>68</v>
      </c>
    </row>
    <row r="33" ht="62" customHeight="1" spans="1:15">
      <c r="A33" s="11" t="s">
        <v>307</v>
      </c>
      <c r="B33" s="11" t="s">
        <v>30</v>
      </c>
      <c r="C33" s="11" t="s">
        <v>104</v>
      </c>
      <c r="D33" s="11" t="s">
        <v>308</v>
      </c>
      <c r="E33" s="11" t="s">
        <v>309</v>
      </c>
      <c r="F33" s="11" t="s">
        <v>310</v>
      </c>
      <c r="G33" s="11" t="s">
        <v>311</v>
      </c>
      <c r="H33" s="11" t="s">
        <v>312</v>
      </c>
      <c r="I33" s="11" t="s">
        <v>313</v>
      </c>
      <c r="J33" s="11" t="s">
        <v>314</v>
      </c>
      <c r="K33" s="11" t="s">
        <v>257</v>
      </c>
      <c r="L33" s="11" t="s">
        <v>66</v>
      </c>
      <c r="M33" s="11" t="s">
        <v>67</v>
      </c>
      <c r="N33" s="11" t="s">
        <v>25</v>
      </c>
      <c r="O33" s="11" t="s">
        <v>68</v>
      </c>
    </row>
    <row r="34" ht="62" customHeight="1" spans="1:15">
      <c r="A34" s="11" t="s">
        <v>315</v>
      </c>
      <c r="B34" s="11" t="s">
        <v>30</v>
      </c>
      <c r="C34" s="11" t="s">
        <v>104</v>
      </c>
      <c r="D34" s="11" t="s">
        <v>316</v>
      </c>
      <c r="E34" s="11" t="s">
        <v>317</v>
      </c>
      <c r="F34" s="11" t="s">
        <v>318</v>
      </c>
      <c r="G34" s="11" t="s">
        <v>319</v>
      </c>
      <c r="H34" s="11" t="s">
        <v>320</v>
      </c>
      <c r="I34" s="11" t="s">
        <v>321</v>
      </c>
      <c r="J34" s="11" t="s">
        <v>322</v>
      </c>
      <c r="K34" s="11" t="s">
        <v>112</v>
      </c>
      <c r="L34" s="11" t="s">
        <v>66</v>
      </c>
      <c r="M34" s="11" t="s">
        <v>67</v>
      </c>
      <c r="N34" s="11" t="s">
        <v>25</v>
      </c>
      <c r="O34" s="11" t="s">
        <v>68</v>
      </c>
    </row>
    <row r="35" ht="62" customHeight="1" spans="1:15">
      <c r="A35" s="11" t="s">
        <v>323</v>
      </c>
      <c r="B35" s="11" t="s">
        <v>30</v>
      </c>
      <c r="C35" s="11" t="s">
        <v>104</v>
      </c>
      <c r="D35" s="11" t="s">
        <v>324</v>
      </c>
      <c r="E35" s="11" t="s">
        <v>325</v>
      </c>
      <c r="F35" s="11" t="s">
        <v>326</v>
      </c>
      <c r="G35" s="11" t="s">
        <v>327</v>
      </c>
      <c r="H35" s="11" t="s">
        <v>328</v>
      </c>
      <c r="I35" s="11" t="s">
        <v>329</v>
      </c>
      <c r="J35" s="11" t="s">
        <v>330</v>
      </c>
      <c r="K35" s="11" t="s">
        <v>257</v>
      </c>
      <c r="L35" s="11" t="s">
        <v>66</v>
      </c>
      <c r="M35" s="11" t="s">
        <v>76</v>
      </c>
      <c r="N35" s="11" t="s">
        <v>29</v>
      </c>
      <c r="O35" s="11" t="s">
        <v>331</v>
      </c>
    </row>
    <row r="36" ht="62" customHeight="1" spans="1:15">
      <c r="A36" s="11" t="s">
        <v>332</v>
      </c>
      <c r="B36" s="11" t="s">
        <v>30</v>
      </c>
      <c r="C36" s="11" t="s">
        <v>104</v>
      </c>
      <c r="D36" s="11" t="s">
        <v>333</v>
      </c>
      <c r="E36" s="11" t="s">
        <v>334</v>
      </c>
      <c r="F36" s="11" t="s">
        <v>335</v>
      </c>
      <c r="G36" s="11" t="s">
        <v>336</v>
      </c>
      <c r="H36" s="11" t="s">
        <v>337</v>
      </c>
      <c r="I36" s="11" t="s">
        <v>338</v>
      </c>
      <c r="J36" s="11" t="s">
        <v>339</v>
      </c>
      <c r="K36" s="11" t="s">
        <v>112</v>
      </c>
      <c r="L36" s="11" t="s">
        <v>66</v>
      </c>
      <c r="M36" s="11" t="s">
        <v>67</v>
      </c>
      <c r="N36" s="11" t="s">
        <v>25</v>
      </c>
      <c r="O36" s="11" t="s">
        <v>68</v>
      </c>
    </row>
    <row r="37" ht="62" customHeight="1" spans="1:15">
      <c r="A37" s="11" t="s">
        <v>340</v>
      </c>
      <c r="B37" s="11" t="s">
        <v>30</v>
      </c>
      <c r="C37" s="11" t="s">
        <v>104</v>
      </c>
      <c r="D37" s="11" t="s">
        <v>341</v>
      </c>
      <c r="E37" s="11" t="s">
        <v>342</v>
      </c>
      <c r="F37" s="11" t="s">
        <v>343</v>
      </c>
      <c r="G37" s="11" t="s">
        <v>344</v>
      </c>
      <c r="H37" s="11" t="s">
        <v>345</v>
      </c>
      <c r="I37" s="11" t="s">
        <v>346</v>
      </c>
      <c r="J37" s="11" t="s">
        <v>347</v>
      </c>
      <c r="K37" s="11" t="s">
        <v>112</v>
      </c>
      <c r="L37" s="11" t="s">
        <v>66</v>
      </c>
      <c r="M37" s="11" t="s">
        <v>67</v>
      </c>
      <c r="N37" s="11" t="s">
        <v>25</v>
      </c>
      <c r="O37" s="11" t="s">
        <v>68</v>
      </c>
    </row>
    <row r="38" ht="62" customHeight="1" spans="1:15">
      <c r="A38" s="11" t="s">
        <v>348</v>
      </c>
      <c r="B38" s="11" t="s">
        <v>30</v>
      </c>
      <c r="C38" s="11" t="s">
        <v>104</v>
      </c>
      <c r="D38" s="11" t="s">
        <v>349</v>
      </c>
      <c r="E38" s="11" t="s">
        <v>350</v>
      </c>
      <c r="F38" s="11" t="s">
        <v>351</v>
      </c>
      <c r="G38" s="11" t="s">
        <v>352</v>
      </c>
      <c r="H38" s="11" t="s">
        <v>353</v>
      </c>
      <c r="I38" s="11" t="s">
        <v>354</v>
      </c>
      <c r="J38" s="11" t="s">
        <v>355</v>
      </c>
      <c r="K38" s="11" t="s">
        <v>257</v>
      </c>
      <c r="L38" s="11" t="s">
        <v>66</v>
      </c>
      <c r="M38" s="11" t="s">
        <v>67</v>
      </c>
      <c r="N38" s="11" t="s">
        <v>25</v>
      </c>
      <c r="O38" s="11" t="s">
        <v>68</v>
      </c>
    </row>
    <row r="39" ht="62" customHeight="1" spans="1:15">
      <c r="A39" s="11" t="s">
        <v>356</v>
      </c>
      <c r="B39" s="11" t="s">
        <v>30</v>
      </c>
      <c r="C39" s="11" t="s">
        <v>104</v>
      </c>
      <c r="D39" s="11" t="s">
        <v>357</v>
      </c>
      <c r="E39" s="11" t="s">
        <v>358</v>
      </c>
      <c r="F39" s="11" t="s">
        <v>359</v>
      </c>
      <c r="G39" s="11" t="s">
        <v>360</v>
      </c>
      <c r="H39" s="11" t="s">
        <v>361</v>
      </c>
      <c r="I39" s="11" t="s">
        <v>362</v>
      </c>
      <c r="J39" s="11" t="s">
        <v>363</v>
      </c>
      <c r="K39" s="11" t="s">
        <v>257</v>
      </c>
      <c r="L39" s="11" t="s">
        <v>66</v>
      </c>
      <c r="M39" s="11" t="s">
        <v>76</v>
      </c>
      <c r="N39" s="11" t="s">
        <v>23</v>
      </c>
      <c r="O39" s="11" t="s">
        <v>364</v>
      </c>
    </row>
    <row r="40" ht="62" customHeight="1" spans="1:15">
      <c r="A40" s="11" t="s">
        <v>365</v>
      </c>
      <c r="B40" s="11" t="s">
        <v>30</v>
      </c>
      <c r="C40" s="11" t="s">
        <v>104</v>
      </c>
      <c r="D40" s="11" t="s">
        <v>366</v>
      </c>
      <c r="E40" s="11" t="s">
        <v>367</v>
      </c>
      <c r="F40" s="11" t="s">
        <v>368</v>
      </c>
      <c r="G40" s="11" t="s">
        <v>369</v>
      </c>
      <c r="H40" s="11" t="s">
        <v>370</v>
      </c>
      <c r="I40" s="11" t="s">
        <v>371</v>
      </c>
      <c r="J40" s="11" t="s">
        <v>372</v>
      </c>
      <c r="K40" s="11" t="s">
        <v>112</v>
      </c>
      <c r="L40" s="11" t="s">
        <v>66</v>
      </c>
      <c r="M40" s="11" t="s">
        <v>67</v>
      </c>
      <c r="N40" s="11" t="s">
        <v>25</v>
      </c>
      <c r="O40" s="11" t="s">
        <v>68</v>
      </c>
    </row>
    <row r="41" ht="62" customHeight="1" spans="1:15">
      <c r="A41" s="11" t="s">
        <v>373</v>
      </c>
      <c r="B41" s="11" t="s">
        <v>30</v>
      </c>
      <c r="C41" s="11" t="s">
        <v>104</v>
      </c>
      <c r="D41" s="11" t="s">
        <v>374</v>
      </c>
      <c r="E41" s="11" t="s">
        <v>375</v>
      </c>
      <c r="F41" s="11" t="s">
        <v>376</v>
      </c>
      <c r="G41" s="11" t="s">
        <v>377</v>
      </c>
      <c r="H41" s="11" t="s">
        <v>378</v>
      </c>
      <c r="I41" s="11" t="s">
        <v>379</v>
      </c>
      <c r="J41" s="11" t="s">
        <v>380</v>
      </c>
      <c r="K41" s="11" t="s">
        <v>65</v>
      </c>
      <c r="L41" s="11" t="s">
        <v>66</v>
      </c>
      <c r="M41" s="11" t="s">
        <v>76</v>
      </c>
      <c r="N41" s="11" t="s">
        <v>23</v>
      </c>
      <c r="O41" s="11" t="s">
        <v>381</v>
      </c>
    </row>
    <row r="42" ht="62" customHeight="1" spans="1:15">
      <c r="A42" s="11" t="s">
        <v>382</v>
      </c>
      <c r="B42" s="11" t="s">
        <v>30</v>
      </c>
      <c r="C42" s="11" t="s">
        <v>104</v>
      </c>
      <c r="D42" s="11" t="s">
        <v>383</v>
      </c>
      <c r="E42" s="11" t="s">
        <v>384</v>
      </c>
      <c r="F42" s="11" t="s">
        <v>385</v>
      </c>
      <c r="G42" s="11" t="s">
        <v>386</v>
      </c>
      <c r="H42" s="11" t="s">
        <v>387</v>
      </c>
      <c r="I42" s="11" t="s">
        <v>388</v>
      </c>
      <c r="J42" s="11" t="s">
        <v>389</v>
      </c>
      <c r="K42" s="11" t="s">
        <v>390</v>
      </c>
      <c r="L42" s="11" t="s">
        <v>66</v>
      </c>
      <c r="M42" s="11" t="s">
        <v>76</v>
      </c>
      <c r="N42" s="11" t="s">
        <v>23</v>
      </c>
      <c r="O42" s="11" t="s">
        <v>391</v>
      </c>
    </row>
    <row r="43" ht="62" customHeight="1" spans="1:15">
      <c r="A43" s="11" t="s">
        <v>392</v>
      </c>
      <c r="B43" s="11" t="s">
        <v>30</v>
      </c>
      <c r="C43" s="11" t="s">
        <v>104</v>
      </c>
      <c r="D43" s="11" t="s">
        <v>393</v>
      </c>
      <c r="E43" s="11" t="s">
        <v>394</v>
      </c>
      <c r="F43" s="11" t="s">
        <v>395</v>
      </c>
      <c r="G43" s="11" t="s">
        <v>396</v>
      </c>
      <c r="H43" s="11" t="s">
        <v>397</v>
      </c>
      <c r="I43" s="11" t="s">
        <v>398</v>
      </c>
      <c r="J43" s="11" t="s">
        <v>399</v>
      </c>
      <c r="K43" s="11" t="s">
        <v>112</v>
      </c>
      <c r="L43" s="11" t="s">
        <v>66</v>
      </c>
      <c r="M43" s="11" t="s">
        <v>67</v>
      </c>
      <c r="N43" s="11" t="s">
        <v>25</v>
      </c>
      <c r="O43" s="11" t="s">
        <v>68</v>
      </c>
    </row>
    <row r="44" ht="62" customHeight="1" spans="1:15">
      <c r="A44" s="11" t="s">
        <v>400</v>
      </c>
      <c r="B44" s="11" t="s">
        <v>30</v>
      </c>
      <c r="C44" s="11" t="s">
        <v>104</v>
      </c>
      <c r="D44" s="11" t="s">
        <v>401</v>
      </c>
      <c r="E44" s="11" t="s">
        <v>402</v>
      </c>
      <c r="F44" s="11" t="s">
        <v>403</v>
      </c>
      <c r="G44" s="11" t="s">
        <v>404</v>
      </c>
      <c r="H44" s="11" t="s">
        <v>405</v>
      </c>
      <c r="I44" s="11" t="s">
        <v>406</v>
      </c>
      <c r="J44" s="11" t="s">
        <v>407</v>
      </c>
      <c r="K44" s="11" t="s">
        <v>390</v>
      </c>
      <c r="L44" s="11" t="s">
        <v>66</v>
      </c>
      <c r="M44" s="11" t="s">
        <v>76</v>
      </c>
      <c r="N44" s="11" t="s">
        <v>23</v>
      </c>
      <c r="O44" s="11" t="s">
        <v>113</v>
      </c>
    </row>
    <row r="45" ht="62" customHeight="1" spans="1:15">
      <c r="A45" s="11" t="s">
        <v>408</v>
      </c>
      <c r="B45" s="11" t="s">
        <v>36</v>
      </c>
      <c r="C45" s="11" t="s">
        <v>104</v>
      </c>
      <c r="D45" s="11" t="s">
        <v>409</v>
      </c>
      <c r="E45" s="11" t="s">
        <v>410</v>
      </c>
      <c r="F45" s="11" t="s">
        <v>411</v>
      </c>
      <c r="G45" s="11" t="s">
        <v>412</v>
      </c>
      <c r="H45" s="11" t="s">
        <v>413</v>
      </c>
      <c r="I45" s="11" t="s">
        <v>414</v>
      </c>
      <c r="J45" s="11" t="s">
        <v>415</v>
      </c>
      <c r="K45" s="11" t="s">
        <v>112</v>
      </c>
      <c r="L45" s="11" t="s">
        <v>66</v>
      </c>
      <c r="M45" s="11" t="s">
        <v>67</v>
      </c>
      <c r="N45" s="11" t="s">
        <v>25</v>
      </c>
      <c r="O45" s="11" t="s">
        <v>68</v>
      </c>
    </row>
    <row r="46" ht="62" customHeight="1" spans="1:15">
      <c r="A46" s="11" t="s">
        <v>416</v>
      </c>
      <c r="B46" s="11" t="s">
        <v>36</v>
      </c>
      <c r="C46" s="11" t="s">
        <v>104</v>
      </c>
      <c r="D46" s="11" t="s">
        <v>417</v>
      </c>
      <c r="E46" s="11" t="s">
        <v>418</v>
      </c>
      <c r="F46" s="11" t="s">
        <v>419</v>
      </c>
      <c r="G46" s="11" t="s">
        <v>420</v>
      </c>
      <c r="H46" s="11" t="s">
        <v>421</v>
      </c>
      <c r="I46" s="11" t="s">
        <v>422</v>
      </c>
      <c r="J46" s="11" t="s">
        <v>423</v>
      </c>
      <c r="K46" s="11" t="s">
        <v>101</v>
      </c>
      <c r="L46" s="11" t="s">
        <v>66</v>
      </c>
      <c r="M46" s="11" t="s">
        <v>67</v>
      </c>
      <c r="N46" s="11" t="s">
        <v>23</v>
      </c>
      <c r="O46" s="11" t="s">
        <v>68</v>
      </c>
    </row>
    <row r="47" ht="62" customHeight="1" spans="1:15">
      <c r="A47" s="11" t="s">
        <v>424</v>
      </c>
      <c r="B47" s="11" t="s">
        <v>24</v>
      </c>
      <c r="C47" s="11" t="s">
        <v>104</v>
      </c>
      <c r="D47" s="11" t="s">
        <v>425</v>
      </c>
      <c r="E47" s="11" t="s">
        <v>426</v>
      </c>
      <c r="F47" s="11" t="s">
        <v>427</v>
      </c>
      <c r="G47" s="11" t="s">
        <v>428</v>
      </c>
      <c r="H47" s="11" t="s">
        <v>429</v>
      </c>
      <c r="I47" s="11" t="s">
        <v>430</v>
      </c>
      <c r="J47" s="11" t="s">
        <v>431</v>
      </c>
      <c r="K47" s="11" t="s">
        <v>112</v>
      </c>
      <c r="L47" s="11" t="s">
        <v>66</v>
      </c>
      <c r="M47" s="11" t="s">
        <v>67</v>
      </c>
      <c r="N47" s="11" t="s">
        <v>25</v>
      </c>
      <c r="O47" s="11" t="s">
        <v>68</v>
      </c>
    </row>
    <row r="48" ht="62" customHeight="1" spans="1:15">
      <c r="A48" s="11" t="s">
        <v>432</v>
      </c>
      <c r="B48" s="11" t="s">
        <v>24</v>
      </c>
      <c r="C48" s="11" t="s">
        <v>104</v>
      </c>
      <c r="D48" s="11" t="s">
        <v>433</v>
      </c>
      <c r="E48" s="11" t="s">
        <v>434</v>
      </c>
      <c r="F48" s="11" t="s">
        <v>435</v>
      </c>
      <c r="G48" s="11" t="s">
        <v>436</v>
      </c>
      <c r="H48" s="11" t="s">
        <v>437</v>
      </c>
      <c r="I48" s="11" t="s">
        <v>438</v>
      </c>
      <c r="J48" s="11" t="s">
        <v>439</v>
      </c>
      <c r="K48" s="11" t="s">
        <v>75</v>
      </c>
      <c r="L48" s="11" t="s">
        <v>66</v>
      </c>
      <c r="M48" s="11" t="s">
        <v>67</v>
      </c>
      <c r="N48" s="11" t="s">
        <v>25</v>
      </c>
      <c r="O48" s="11" t="s">
        <v>68</v>
      </c>
    </row>
    <row r="49" ht="62" customHeight="1" spans="1:15">
      <c r="A49" s="11" t="s">
        <v>440</v>
      </c>
      <c r="B49" s="11" t="s">
        <v>24</v>
      </c>
      <c r="C49" s="11" t="s">
        <v>104</v>
      </c>
      <c r="D49" s="11" t="s">
        <v>441</v>
      </c>
      <c r="E49" s="11" t="s">
        <v>442</v>
      </c>
      <c r="F49" s="11" t="s">
        <v>443</v>
      </c>
      <c r="G49" s="11" t="s">
        <v>444</v>
      </c>
      <c r="H49" s="11" t="s">
        <v>445</v>
      </c>
      <c r="I49" s="11" t="s">
        <v>446</v>
      </c>
      <c r="J49" s="11" t="s">
        <v>447</v>
      </c>
      <c r="K49" s="11" t="s">
        <v>75</v>
      </c>
      <c r="L49" s="11" t="s">
        <v>66</v>
      </c>
      <c r="M49" s="11" t="s">
        <v>76</v>
      </c>
      <c r="N49" s="11" t="s">
        <v>23</v>
      </c>
      <c r="O49" s="11" t="s">
        <v>448</v>
      </c>
    </row>
    <row r="50" ht="62" customHeight="1" spans="1:15">
      <c r="A50" s="11" t="s">
        <v>449</v>
      </c>
      <c r="B50" s="11" t="s">
        <v>24</v>
      </c>
      <c r="C50" s="11" t="s">
        <v>450</v>
      </c>
      <c r="D50" s="11" t="s">
        <v>451</v>
      </c>
      <c r="E50" s="11" t="s">
        <v>452</v>
      </c>
      <c r="F50" s="11" t="s">
        <v>453</v>
      </c>
      <c r="G50" s="11" t="s">
        <v>454</v>
      </c>
      <c r="H50" s="11" t="s">
        <v>455</v>
      </c>
      <c r="I50" s="11" t="s">
        <v>456</v>
      </c>
      <c r="J50" s="11" t="s">
        <v>457</v>
      </c>
      <c r="K50" s="11" t="s">
        <v>112</v>
      </c>
      <c r="L50" s="11" t="s">
        <v>66</v>
      </c>
      <c r="M50" s="11" t="s">
        <v>76</v>
      </c>
      <c r="N50" s="11" t="s">
        <v>25</v>
      </c>
      <c r="O50" s="11" t="s">
        <v>68</v>
      </c>
    </row>
    <row r="51" ht="62" customHeight="1" spans="1:15">
      <c r="A51" s="11" t="s">
        <v>458</v>
      </c>
      <c r="B51" s="11" t="s">
        <v>38</v>
      </c>
      <c r="C51" s="11" t="s">
        <v>450</v>
      </c>
      <c r="D51" s="11" t="s">
        <v>459</v>
      </c>
      <c r="E51" s="11" t="s">
        <v>460</v>
      </c>
      <c r="F51" s="11" t="s">
        <v>461</v>
      </c>
      <c r="G51" s="11" t="s">
        <v>462</v>
      </c>
      <c r="H51" s="11" t="s">
        <v>463</v>
      </c>
      <c r="I51" s="11" t="s">
        <v>464</v>
      </c>
      <c r="J51" s="11" t="s">
        <v>465</v>
      </c>
      <c r="K51" s="11" t="s">
        <v>112</v>
      </c>
      <c r="L51" s="11" t="s">
        <v>66</v>
      </c>
      <c r="M51" s="11" t="s">
        <v>67</v>
      </c>
      <c r="N51" s="11" t="s">
        <v>25</v>
      </c>
      <c r="O51" s="11" t="s">
        <v>68</v>
      </c>
    </row>
    <row r="52" ht="62" customHeight="1" spans="1:15">
      <c r="A52" s="11" t="s">
        <v>466</v>
      </c>
      <c r="B52" s="11" t="s">
        <v>38</v>
      </c>
      <c r="C52" s="11" t="s">
        <v>450</v>
      </c>
      <c r="D52" s="11" t="s">
        <v>467</v>
      </c>
      <c r="E52" s="11" t="s">
        <v>468</v>
      </c>
      <c r="F52" s="11" t="s">
        <v>469</v>
      </c>
      <c r="G52" s="11" t="s">
        <v>470</v>
      </c>
      <c r="H52" s="11" t="s">
        <v>471</v>
      </c>
      <c r="I52" s="11" t="s">
        <v>472</v>
      </c>
      <c r="J52" s="11" t="s">
        <v>473</v>
      </c>
      <c r="K52" s="11" t="s">
        <v>112</v>
      </c>
      <c r="L52" s="11" t="s">
        <v>66</v>
      </c>
      <c r="M52" s="11" t="s">
        <v>67</v>
      </c>
      <c r="N52" s="11" t="s">
        <v>25</v>
      </c>
      <c r="O52" s="11" t="s">
        <v>68</v>
      </c>
    </row>
    <row r="53" ht="62" customHeight="1" spans="1:15">
      <c r="A53" s="11" t="s">
        <v>474</v>
      </c>
      <c r="B53" s="11" t="s">
        <v>38</v>
      </c>
      <c r="C53" s="11" t="s">
        <v>450</v>
      </c>
      <c r="D53" s="11" t="s">
        <v>475</v>
      </c>
      <c r="E53" s="11" t="s">
        <v>476</v>
      </c>
      <c r="F53" s="11" t="s">
        <v>477</v>
      </c>
      <c r="G53" s="11" t="s">
        <v>478</v>
      </c>
      <c r="H53" s="11" t="s">
        <v>445</v>
      </c>
      <c r="I53" s="11" t="s">
        <v>479</v>
      </c>
      <c r="J53" s="11" t="s">
        <v>480</v>
      </c>
      <c r="K53" s="11" t="s">
        <v>112</v>
      </c>
      <c r="L53" s="11" t="s">
        <v>66</v>
      </c>
      <c r="M53" s="11" t="s">
        <v>67</v>
      </c>
      <c r="N53" s="11" t="s">
        <v>25</v>
      </c>
      <c r="O53" s="11" t="s">
        <v>68</v>
      </c>
    </row>
    <row r="54" ht="62" customHeight="1" spans="1:15">
      <c r="A54" s="11" t="s">
        <v>481</v>
      </c>
      <c r="B54" s="11" t="s">
        <v>39</v>
      </c>
      <c r="C54" s="11" t="s">
        <v>104</v>
      </c>
      <c r="D54" s="11" t="s">
        <v>482</v>
      </c>
      <c r="E54" s="11" t="s">
        <v>483</v>
      </c>
      <c r="F54" s="11" t="s">
        <v>484</v>
      </c>
      <c r="G54" s="11" t="s">
        <v>485</v>
      </c>
      <c r="H54" s="11" t="s">
        <v>486</v>
      </c>
      <c r="I54" s="11" t="s">
        <v>487</v>
      </c>
      <c r="J54" s="11" t="s">
        <v>488</v>
      </c>
      <c r="K54" s="11" t="s">
        <v>112</v>
      </c>
      <c r="L54" s="11" t="s">
        <v>66</v>
      </c>
      <c r="M54" s="11" t="s">
        <v>67</v>
      </c>
      <c r="N54" s="11" t="s">
        <v>25</v>
      </c>
      <c r="O54" s="11" t="s">
        <v>68</v>
      </c>
    </row>
    <row r="55" ht="62" customHeight="1" spans="1:15">
      <c r="A55" s="11" t="s">
        <v>489</v>
      </c>
      <c r="B55" s="11" t="s">
        <v>39</v>
      </c>
      <c r="C55" s="11" t="s">
        <v>104</v>
      </c>
      <c r="D55" s="11" t="s">
        <v>490</v>
      </c>
      <c r="E55" s="11" t="s">
        <v>491</v>
      </c>
      <c r="F55" s="11" t="s">
        <v>492</v>
      </c>
      <c r="G55" s="11" t="s">
        <v>493</v>
      </c>
      <c r="H55" s="11" t="s">
        <v>494</v>
      </c>
      <c r="I55" s="11" t="s">
        <v>495</v>
      </c>
      <c r="J55" s="11" t="s">
        <v>496</v>
      </c>
      <c r="K55" s="11" t="s">
        <v>112</v>
      </c>
      <c r="L55" s="11" t="s">
        <v>66</v>
      </c>
      <c r="M55" s="11" t="s">
        <v>76</v>
      </c>
      <c r="N55" s="11" t="s">
        <v>25</v>
      </c>
      <c r="O55" s="11" t="s">
        <v>497</v>
      </c>
    </row>
    <row r="56" ht="62" customHeight="1" spans="1:15">
      <c r="A56" s="11" t="s">
        <v>498</v>
      </c>
      <c r="B56" s="11" t="s">
        <v>31</v>
      </c>
      <c r="C56" s="11" t="s">
        <v>104</v>
      </c>
      <c r="D56" s="11" t="s">
        <v>499</v>
      </c>
      <c r="E56" s="11" t="s">
        <v>500</v>
      </c>
      <c r="F56" s="11" t="s">
        <v>501</v>
      </c>
      <c r="G56" s="11" t="s">
        <v>502</v>
      </c>
      <c r="H56" s="11" t="s">
        <v>503</v>
      </c>
      <c r="I56" s="11" t="s">
        <v>504</v>
      </c>
      <c r="J56" s="11" t="s">
        <v>505</v>
      </c>
      <c r="K56" s="11" t="s">
        <v>112</v>
      </c>
      <c r="L56" s="11" t="s">
        <v>66</v>
      </c>
      <c r="M56" s="11" t="s">
        <v>67</v>
      </c>
      <c r="N56" s="11" t="s">
        <v>25</v>
      </c>
      <c r="O56" s="11" t="s">
        <v>68</v>
      </c>
    </row>
    <row r="57" ht="62" customHeight="1" spans="1:15">
      <c r="A57" s="11" t="s">
        <v>506</v>
      </c>
      <c r="B57" s="11" t="s">
        <v>31</v>
      </c>
      <c r="C57" s="11" t="s">
        <v>104</v>
      </c>
      <c r="D57" s="11" t="s">
        <v>507</v>
      </c>
      <c r="E57" s="11" t="s">
        <v>508</v>
      </c>
      <c r="F57" s="11" t="s">
        <v>443</v>
      </c>
      <c r="G57" s="11" t="s">
        <v>509</v>
      </c>
      <c r="H57" s="11" t="s">
        <v>445</v>
      </c>
      <c r="I57" s="11" t="s">
        <v>510</v>
      </c>
      <c r="J57" s="11" t="s">
        <v>511</v>
      </c>
      <c r="K57" s="11" t="s">
        <v>75</v>
      </c>
      <c r="L57" s="11" t="s">
        <v>66</v>
      </c>
      <c r="M57" s="11" t="s">
        <v>67</v>
      </c>
      <c r="N57" s="11" t="s">
        <v>25</v>
      </c>
      <c r="O57" s="11" t="s">
        <v>68</v>
      </c>
    </row>
    <row r="58" ht="62" customHeight="1" spans="1:15">
      <c r="A58" s="11" t="s">
        <v>512</v>
      </c>
      <c r="B58" s="11" t="s">
        <v>31</v>
      </c>
      <c r="C58" s="11" t="s">
        <v>104</v>
      </c>
      <c r="D58" s="11" t="s">
        <v>513</v>
      </c>
      <c r="E58" s="11" t="s">
        <v>514</v>
      </c>
      <c r="F58" s="11" t="s">
        <v>515</v>
      </c>
      <c r="G58" s="11" t="s">
        <v>509</v>
      </c>
      <c r="H58" s="11" t="s">
        <v>516</v>
      </c>
      <c r="I58" s="11" t="s">
        <v>504</v>
      </c>
      <c r="J58" s="11" t="s">
        <v>517</v>
      </c>
      <c r="K58" s="11" t="s">
        <v>75</v>
      </c>
      <c r="L58" s="11" t="s">
        <v>66</v>
      </c>
      <c r="M58" s="11" t="s">
        <v>76</v>
      </c>
      <c r="N58" s="11" t="s">
        <v>25</v>
      </c>
      <c r="O58" s="11" t="s">
        <v>518</v>
      </c>
    </row>
    <row r="59" ht="62" customHeight="1" spans="1:15">
      <c r="A59" s="11" t="s">
        <v>519</v>
      </c>
      <c r="B59" s="11" t="s">
        <v>38</v>
      </c>
      <c r="C59" s="11" t="s">
        <v>450</v>
      </c>
      <c r="D59" s="11" t="s">
        <v>520</v>
      </c>
      <c r="E59" s="11" t="s">
        <v>521</v>
      </c>
      <c r="F59" s="11" t="s">
        <v>522</v>
      </c>
      <c r="G59" s="11" t="s">
        <v>523</v>
      </c>
      <c r="H59" s="11" t="s">
        <v>524</v>
      </c>
      <c r="I59" s="11" t="s">
        <v>525</v>
      </c>
      <c r="J59" s="11" t="s">
        <v>526</v>
      </c>
      <c r="K59" s="11" t="s">
        <v>112</v>
      </c>
      <c r="L59" s="11" t="s">
        <v>66</v>
      </c>
      <c r="M59" s="11" t="s">
        <v>67</v>
      </c>
      <c r="N59" s="11" t="s">
        <v>25</v>
      </c>
      <c r="O59" s="11" t="s">
        <v>68</v>
      </c>
    </row>
    <row r="60" ht="62" customHeight="1" spans="1:15">
      <c r="A60" s="11" t="s">
        <v>527</v>
      </c>
      <c r="B60" s="11" t="s">
        <v>41</v>
      </c>
      <c r="C60" s="11" t="s">
        <v>104</v>
      </c>
      <c r="D60" s="11" t="s">
        <v>528</v>
      </c>
      <c r="E60" s="11" t="s">
        <v>529</v>
      </c>
      <c r="F60" s="11" t="s">
        <v>530</v>
      </c>
      <c r="G60" s="11" t="s">
        <v>531</v>
      </c>
      <c r="H60" s="11" t="s">
        <v>532</v>
      </c>
      <c r="I60" s="11" t="s">
        <v>533</v>
      </c>
      <c r="J60" s="11" t="s">
        <v>534</v>
      </c>
      <c r="K60" s="11" t="s">
        <v>112</v>
      </c>
      <c r="L60" s="11" t="s">
        <v>66</v>
      </c>
      <c r="M60" s="11" t="s">
        <v>67</v>
      </c>
      <c r="N60" s="11" t="s">
        <v>25</v>
      </c>
      <c r="O60" s="11" t="s">
        <v>68</v>
      </c>
    </row>
    <row r="61" ht="62" customHeight="1" spans="1:15">
      <c r="A61" s="11" t="s">
        <v>535</v>
      </c>
      <c r="B61" s="11" t="s">
        <v>41</v>
      </c>
      <c r="C61" s="11" t="s">
        <v>104</v>
      </c>
      <c r="D61" s="11" t="s">
        <v>536</v>
      </c>
      <c r="E61" s="11" t="s">
        <v>537</v>
      </c>
      <c r="F61" s="11" t="s">
        <v>538</v>
      </c>
      <c r="G61" s="11" t="s">
        <v>539</v>
      </c>
      <c r="H61" s="11" t="s">
        <v>540</v>
      </c>
      <c r="I61" s="11" t="s">
        <v>541</v>
      </c>
      <c r="J61" s="11" t="s">
        <v>542</v>
      </c>
      <c r="K61" s="11" t="s">
        <v>112</v>
      </c>
      <c r="L61" s="11" t="s">
        <v>66</v>
      </c>
      <c r="M61" s="11" t="s">
        <v>67</v>
      </c>
      <c r="N61" s="11" t="s">
        <v>25</v>
      </c>
      <c r="O61" s="11" t="s">
        <v>68</v>
      </c>
    </row>
    <row r="62" ht="62" customHeight="1" spans="1:15">
      <c r="A62" s="11" t="s">
        <v>543</v>
      </c>
      <c r="B62" s="11" t="s">
        <v>40</v>
      </c>
      <c r="C62" s="11" t="s">
        <v>104</v>
      </c>
      <c r="D62" s="11" t="s">
        <v>544</v>
      </c>
      <c r="E62" s="11" t="s">
        <v>545</v>
      </c>
      <c r="F62" s="11" t="s">
        <v>546</v>
      </c>
      <c r="G62" s="11" t="s">
        <v>547</v>
      </c>
      <c r="H62" s="11" t="s">
        <v>548</v>
      </c>
      <c r="I62" s="11" t="s">
        <v>549</v>
      </c>
      <c r="J62" s="11" t="s">
        <v>550</v>
      </c>
      <c r="K62" s="11" t="s">
        <v>112</v>
      </c>
      <c r="L62" s="11" t="s">
        <v>66</v>
      </c>
      <c r="M62" s="11" t="s">
        <v>76</v>
      </c>
      <c r="N62" s="11" t="s">
        <v>25</v>
      </c>
      <c r="O62" s="11" t="s">
        <v>551</v>
      </c>
    </row>
    <row r="63" ht="62" customHeight="1" spans="1:15">
      <c r="A63" s="11" t="s">
        <v>552</v>
      </c>
      <c r="B63" s="11" t="s">
        <v>40</v>
      </c>
      <c r="C63" s="11" t="s">
        <v>104</v>
      </c>
      <c r="D63" s="11" t="s">
        <v>553</v>
      </c>
      <c r="E63" s="11" t="s">
        <v>554</v>
      </c>
      <c r="F63" s="11" t="s">
        <v>546</v>
      </c>
      <c r="G63" s="11" t="s">
        <v>555</v>
      </c>
      <c r="H63" s="11" t="s">
        <v>556</v>
      </c>
      <c r="I63" s="11" t="s">
        <v>557</v>
      </c>
      <c r="J63" s="11" t="s">
        <v>558</v>
      </c>
      <c r="K63" s="11" t="s">
        <v>112</v>
      </c>
      <c r="L63" s="11" t="s">
        <v>66</v>
      </c>
      <c r="M63" s="11" t="s">
        <v>76</v>
      </c>
      <c r="N63" s="11" t="s">
        <v>25</v>
      </c>
      <c r="O63" s="11" t="s">
        <v>551</v>
      </c>
    </row>
    <row r="64" ht="62" customHeight="1" spans="1:15">
      <c r="A64" s="11" t="s">
        <v>559</v>
      </c>
      <c r="B64" s="11" t="s">
        <v>40</v>
      </c>
      <c r="C64" s="11" t="s">
        <v>104</v>
      </c>
      <c r="D64" s="11" t="s">
        <v>560</v>
      </c>
      <c r="E64" s="11" t="s">
        <v>561</v>
      </c>
      <c r="F64" s="11" t="s">
        <v>562</v>
      </c>
      <c r="G64" s="11" t="s">
        <v>563</v>
      </c>
      <c r="H64" s="11" t="s">
        <v>564</v>
      </c>
      <c r="I64" s="11" t="s">
        <v>565</v>
      </c>
      <c r="J64" s="11" t="s">
        <v>566</v>
      </c>
      <c r="K64" s="11" t="s">
        <v>75</v>
      </c>
      <c r="L64" s="11" t="s">
        <v>66</v>
      </c>
      <c r="M64" s="11" t="s">
        <v>67</v>
      </c>
      <c r="N64" s="11" t="s">
        <v>23</v>
      </c>
      <c r="O64" s="11" t="s">
        <v>68</v>
      </c>
    </row>
    <row r="65" ht="62" customHeight="1" spans="1:15">
      <c r="A65" s="11" t="s">
        <v>567</v>
      </c>
      <c r="B65" s="11" t="s">
        <v>40</v>
      </c>
      <c r="C65" s="11" t="s">
        <v>450</v>
      </c>
      <c r="D65" s="11" t="s">
        <v>568</v>
      </c>
      <c r="E65" s="11" t="s">
        <v>569</v>
      </c>
      <c r="F65" s="11" t="s">
        <v>570</v>
      </c>
      <c r="G65" s="11" t="s">
        <v>571</v>
      </c>
      <c r="H65" s="11" t="s">
        <v>572</v>
      </c>
      <c r="I65" s="11" t="s">
        <v>573</v>
      </c>
      <c r="J65" s="11" t="s">
        <v>574</v>
      </c>
      <c r="K65" s="11" t="s">
        <v>112</v>
      </c>
      <c r="L65" s="11" t="s">
        <v>66</v>
      </c>
      <c r="M65" s="11" t="s">
        <v>76</v>
      </c>
      <c r="N65" s="11" t="s">
        <v>25</v>
      </c>
      <c r="O65" s="11" t="s">
        <v>551</v>
      </c>
    </row>
    <row r="66" ht="62" customHeight="1" spans="1:15">
      <c r="A66" s="11" t="s">
        <v>575</v>
      </c>
      <c r="B66" s="11" t="s">
        <v>40</v>
      </c>
      <c r="C66" s="11" t="s">
        <v>450</v>
      </c>
      <c r="D66" s="11" t="s">
        <v>576</v>
      </c>
      <c r="E66" s="11" t="s">
        <v>577</v>
      </c>
      <c r="F66" s="11" t="s">
        <v>570</v>
      </c>
      <c r="G66" s="11" t="s">
        <v>578</v>
      </c>
      <c r="H66" s="11" t="s">
        <v>579</v>
      </c>
      <c r="I66" s="11" t="s">
        <v>580</v>
      </c>
      <c r="J66" s="11" t="s">
        <v>574</v>
      </c>
      <c r="K66" s="11" t="s">
        <v>112</v>
      </c>
      <c r="L66" s="11" t="s">
        <v>66</v>
      </c>
      <c r="M66" s="11" t="s">
        <v>76</v>
      </c>
      <c r="N66" s="11" t="s">
        <v>25</v>
      </c>
      <c r="O66" s="11" t="s">
        <v>551</v>
      </c>
    </row>
    <row r="67" ht="62" customHeight="1" spans="1:15">
      <c r="A67" s="11" t="s">
        <v>581</v>
      </c>
      <c r="B67" s="11" t="s">
        <v>32</v>
      </c>
      <c r="C67" s="11" t="s">
        <v>104</v>
      </c>
      <c r="D67" s="11" t="s">
        <v>582</v>
      </c>
      <c r="E67" s="11" t="s">
        <v>583</v>
      </c>
      <c r="F67" s="11" t="s">
        <v>546</v>
      </c>
      <c r="G67" s="11" t="s">
        <v>584</v>
      </c>
      <c r="H67" s="11" t="s">
        <v>585</v>
      </c>
      <c r="I67" s="11" t="s">
        <v>586</v>
      </c>
      <c r="J67" s="11" t="s">
        <v>587</v>
      </c>
      <c r="K67" s="11" t="s">
        <v>112</v>
      </c>
      <c r="L67" s="11" t="s">
        <v>66</v>
      </c>
      <c r="M67" s="11" t="s">
        <v>76</v>
      </c>
      <c r="N67" s="11" t="s">
        <v>25</v>
      </c>
      <c r="O67" s="11" t="s">
        <v>551</v>
      </c>
    </row>
    <row r="68" ht="62" customHeight="1" spans="1:15">
      <c r="A68" s="11" t="s">
        <v>588</v>
      </c>
      <c r="B68" s="11" t="s">
        <v>32</v>
      </c>
      <c r="C68" s="11" t="s">
        <v>104</v>
      </c>
      <c r="D68" s="11" t="s">
        <v>589</v>
      </c>
      <c r="E68" s="11" t="s">
        <v>590</v>
      </c>
      <c r="F68" s="11" t="s">
        <v>591</v>
      </c>
      <c r="G68" s="11" t="s">
        <v>592</v>
      </c>
      <c r="H68" s="11" t="s">
        <v>593</v>
      </c>
      <c r="I68" s="11" t="s">
        <v>594</v>
      </c>
      <c r="J68" s="11" t="s">
        <v>595</v>
      </c>
      <c r="K68" s="11" t="s">
        <v>75</v>
      </c>
      <c r="L68" s="11" t="s">
        <v>66</v>
      </c>
      <c r="M68" s="11" t="s">
        <v>67</v>
      </c>
      <c r="N68" s="11" t="s">
        <v>23</v>
      </c>
      <c r="O68" s="11" t="s">
        <v>68</v>
      </c>
    </row>
    <row r="69" ht="62" customHeight="1" spans="1:15">
      <c r="A69" s="11" t="s">
        <v>596</v>
      </c>
      <c r="B69" s="11" t="s">
        <v>32</v>
      </c>
      <c r="C69" s="11" t="s">
        <v>450</v>
      </c>
      <c r="D69" s="11" t="s">
        <v>597</v>
      </c>
      <c r="E69" s="11" t="s">
        <v>598</v>
      </c>
      <c r="F69" s="11" t="s">
        <v>599</v>
      </c>
      <c r="G69" s="11" t="s">
        <v>600</v>
      </c>
      <c r="H69" s="11" t="s">
        <v>601</v>
      </c>
      <c r="I69" s="11" t="s">
        <v>602</v>
      </c>
      <c r="J69" s="11" t="s">
        <v>574</v>
      </c>
      <c r="K69" s="11" t="s">
        <v>112</v>
      </c>
      <c r="L69" s="11" t="s">
        <v>66</v>
      </c>
      <c r="M69" s="11" t="s">
        <v>76</v>
      </c>
      <c r="N69" s="11" t="s">
        <v>25</v>
      </c>
      <c r="O69" s="11" t="s">
        <v>551</v>
      </c>
    </row>
    <row r="70" ht="62" customHeight="1" spans="1:15">
      <c r="A70" s="11" t="s">
        <v>603</v>
      </c>
      <c r="B70" s="11" t="s">
        <v>34</v>
      </c>
      <c r="C70" s="11" t="s">
        <v>104</v>
      </c>
      <c r="D70" s="11" t="s">
        <v>604</v>
      </c>
      <c r="E70" s="11" t="s">
        <v>605</v>
      </c>
      <c r="F70" s="11" t="s">
        <v>606</v>
      </c>
      <c r="G70" s="11" t="s">
        <v>607</v>
      </c>
      <c r="H70" s="11" t="s">
        <v>608</v>
      </c>
      <c r="I70" s="11" t="s">
        <v>609</v>
      </c>
      <c r="J70" s="11" t="s">
        <v>610</v>
      </c>
      <c r="K70" s="11" t="s">
        <v>112</v>
      </c>
      <c r="L70" s="11" t="s">
        <v>66</v>
      </c>
      <c r="M70" s="11" t="s">
        <v>67</v>
      </c>
      <c r="N70" s="11" t="s">
        <v>25</v>
      </c>
      <c r="O70" s="11" t="s">
        <v>68</v>
      </c>
    </row>
    <row r="71" ht="62" customHeight="1" spans="1:15">
      <c r="A71" s="11" t="s">
        <v>611</v>
      </c>
      <c r="B71" s="11" t="s">
        <v>34</v>
      </c>
      <c r="C71" s="11" t="s">
        <v>104</v>
      </c>
      <c r="D71" s="11" t="s">
        <v>612</v>
      </c>
      <c r="E71" s="11" t="s">
        <v>613</v>
      </c>
      <c r="F71" s="11" t="s">
        <v>614</v>
      </c>
      <c r="G71" s="11" t="s">
        <v>615</v>
      </c>
      <c r="H71" s="11" t="s">
        <v>616</v>
      </c>
      <c r="I71" s="11" t="s">
        <v>617</v>
      </c>
      <c r="J71" s="11" t="s">
        <v>618</v>
      </c>
      <c r="K71" s="11" t="s">
        <v>112</v>
      </c>
      <c r="L71" s="11" t="s">
        <v>66</v>
      </c>
      <c r="M71" s="11" t="s">
        <v>67</v>
      </c>
      <c r="N71" s="11" t="s">
        <v>25</v>
      </c>
      <c r="O71" s="11" t="s">
        <v>68</v>
      </c>
    </row>
    <row r="72" ht="62" customHeight="1" spans="1:15">
      <c r="A72" s="11" t="s">
        <v>619</v>
      </c>
      <c r="B72" s="11" t="s">
        <v>34</v>
      </c>
      <c r="C72" s="11" t="s">
        <v>104</v>
      </c>
      <c r="D72" s="11" t="s">
        <v>620</v>
      </c>
      <c r="E72" s="11" t="s">
        <v>621</v>
      </c>
      <c r="F72" s="11" t="s">
        <v>622</v>
      </c>
      <c r="G72" s="11" t="s">
        <v>623</v>
      </c>
      <c r="H72" s="11" t="s">
        <v>624</v>
      </c>
      <c r="I72" s="11" t="s">
        <v>625</v>
      </c>
      <c r="J72" s="11" t="s">
        <v>626</v>
      </c>
      <c r="K72" s="11" t="s">
        <v>112</v>
      </c>
      <c r="L72" s="11" t="s">
        <v>66</v>
      </c>
      <c r="M72" s="11" t="s">
        <v>67</v>
      </c>
      <c r="N72" s="11" t="s">
        <v>25</v>
      </c>
      <c r="O72" s="11" t="s">
        <v>68</v>
      </c>
    </row>
    <row r="73" ht="62" customHeight="1" spans="1:15">
      <c r="A73" s="11" t="s">
        <v>627</v>
      </c>
      <c r="B73" s="11" t="s">
        <v>34</v>
      </c>
      <c r="C73" s="11" t="s">
        <v>104</v>
      </c>
      <c r="D73" s="11" t="s">
        <v>628</v>
      </c>
      <c r="E73" s="11" t="s">
        <v>629</v>
      </c>
      <c r="F73" s="11" t="s">
        <v>630</v>
      </c>
      <c r="G73" s="11" t="s">
        <v>631</v>
      </c>
      <c r="H73" s="11" t="s">
        <v>632</v>
      </c>
      <c r="I73" s="11" t="s">
        <v>633</v>
      </c>
      <c r="J73" s="11" t="s">
        <v>634</v>
      </c>
      <c r="K73" s="11" t="s">
        <v>112</v>
      </c>
      <c r="L73" s="11" t="s">
        <v>66</v>
      </c>
      <c r="M73" s="11" t="s">
        <v>76</v>
      </c>
      <c r="N73" s="11" t="s">
        <v>25</v>
      </c>
      <c r="O73" s="5" t="s">
        <v>635</v>
      </c>
    </row>
    <row r="74" ht="62" customHeight="1" spans="1:15">
      <c r="A74" s="11" t="s">
        <v>636</v>
      </c>
      <c r="B74" s="11" t="s">
        <v>34</v>
      </c>
      <c r="C74" s="11" t="s">
        <v>104</v>
      </c>
      <c r="D74" s="11" t="s">
        <v>637</v>
      </c>
      <c r="E74" s="11" t="s">
        <v>638</v>
      </c>
      <c r="F74" s="11" t="s">
        <v>639</v>
      </c>
      <c r="G74" s="11" t="s">
        <v>640</v>
      </c>
      <c r="H74" s="11" t="s">
        <v>641</v>
      </c>
      <c r="I74" s="11" t="s">
        <v>642</v>
      </c>
      <c r="J74" s="11" t="s">
        <v>643</v>
      </c>
      <c r="K74" s="11" t="s">
        <v>75</v>
      </c>
      <c r="L74" s="11" t="s">
        <v>66</v>
      </c>
      <c r="M74" s="11" t="s">
        <v>9</v>
      </c>
      <c r="N74" s="11" t="s">
        <v>25</v>
      </c>
      <c r="O74" s="11" t="s">
        <v>68</v>
      </c>
    </row>
    <row r="75" ht="62" customHeight="1" spans="1:15">
      <c r="A75" s="11" t="s">
        <v>644</v>
      </c>
      <c r="B75" s="11" t="s">
        <v>42</v>
      </c>
      <c r="C75" s="11" t="s">
        <v>104</v>
      </c>
      <c r="D75" s="11" t="s">
        <v>645</v>
      </c>
      <c r="E75" s="11" t="s">
        <v>646</v>
      </c>
      <c r="F75" s="11" t="s">
        <v>647</v>
      </c>
      <c r="G75" s="11" t="s">
        <v>648</v>
      </c>
      <c r="H75" s="11" t="s">
        <v>649</v>
      </c>
      <c r="I75" s="11" t="s">
        <v>650</v>
      </c>
      <c r="J75" s="11" t="s">
        <v>643</v>
      </c>
      <c r="K75" s="11" t="s">
        <v>112</v>
      </c>
      <c r="L75" s="11" t="s">
        <v>66</v>
      </c>
      <c r="M75" s="11" t="s">
        <v>9</v>
      </c>
      <c r="N75" s="11" t="s">
        <v>25</v>
      </c>
      <c r="O75" s="11" t="s">
        <v>68</v>
      </c>
    </row>
    <row r="76" ht="62" customHeight="1" spans="1:15">
      <c r="A76" s="11" t="s">
        <v>651</v>
      </c>
      <c r="B76" s="11" t="s">
        <v>42</v>
      </c>
      <c r="C76" s="11" t="s">
        <v>104</v>
      </c>
      <c r="D76" s="11" t="s">
        <v>652</v>
      </c>
      <c r="E76" s="11" t="s">
        <v>653</v>
      </c>
      <c r="F76" s="11" t="s">
        <v>654</v>
      </c>
      <c r="G76" s="11" t="s">
        <v>655</v>
      </c>
      <c r="H76" s="11" t="s">
        <v>656</v>
      </c>
      <c r="I76" s="11" t="s">
        <v>657</v>
      </c>
      <c r="J76" s="11" t="s">
        <v>643</v>
      </c>
      <c r="K76" s="11" t="s">
        <v>112</v>
      </c>
      <c r="L76" s="11" t="s">
        <v>66</v>
      </c>
      <c r="M76" s="11" t="s">
        <v>9</v>
      </c>
      <c r="N76" s="11" t="s">
        <v>25</v>
      </c>
      <c r="O76" s="11" t="s">
        <v>68</v>
      </c>
    </row>
    <row r="77" ht="62" customHeight="1" spans="1:15">
      <c r="A77" s="11" t="s">
        <v>658</v>
      </c>
      <c r="B77" s="11" t="s">
        <v>42</v>
      </c>
      <c r="C77" s="11" t="s">
        <v>104</v>
      </c>
      <c r="D77" s="11" t="s">
        <v>659</v>
      </c>
      <c r="E77" s="11" t="s">
        <v>660</v>
      </c>
      <c r="F77" s="11" t="s">
        <v>661</v>
      </c>
      <c r="G77" s="11" t="s">
        <v>662</v>
      </c>
      <c r="H77" s="11" t="s">
        <v>663</v>
      </c>
      <c r="I77" s="11" t="s">
        <v>664</v>
      </c>
      <c r="J77" s="11" t="s">
        <v>643</v>
      </c>
      <c r="K77" s="11" t="s">
        <v>112</v>
      </c>
      <c r="L77" s="11" t="s">
        <v>66</v>
      </c>
      <c r="M77" s="11" t="s">
        <v>9</v>
      </c>
      <c r="N77" s="11" t="s">
        <v>25</v>
      </c>
      <c r="O77" s="11" t="s">
        <v>68</v>
      </c>
    </row>
  </sheetData>
  <autoFilter xmlns:etc="http://www.wps.cn/officeDocument/2017/etCustomData" ref="A1:O7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D4" sqref="D4"/>
    </sheetView>
  </sheetViews>
  <sheetFormatPr defaultColWidth="24.2222222222222" defaultRowHeight="14.4"/>
  <cols>
    <col min="1" max="1" width="11.1111111111111" style="5" customWidth="1"/>
    <col min="2" max="2" width="14.1111111111111" style="5" customWidth="1"/>
    <col min="3" max="7" width="24.2222222222222" style="5" customWidth="1"/>
    <col min="8" max="8" width="34.4444444444444" style="5" customWidth="1"/>
    <col min="9" max="13" width="24.2222222222222" style="5" customWidth="1"/>
    <col min="14" max="14" width="24.2222222222222" customWidth="1"/>
    <col min="15" max="15" width="24.2222222222222" style="5" customWidth="1"/>
    <col min="16" max="16380" width="24.2222222222222" customWidth="1"/>
  </cols>
  <sheetData>
    <row r="1" ht="16.35" customHeight="1" spans="1:15">
      <c r="A1" s="3" t="s">
        <v>665</v>
      </c>
      <c r="B1" s="3" t="s">
        <v>16</v>
      </c>
      <c r="C1" s="3" t="s">
        <v>666</v>
      </c>
      <c r="D1" s="3" t="s">
        <v>47</v>
      </c>
      <c r="E1" s="3" t="s">
        <v>667</v>
      </c>
      <c r="F1" s="3" t="s">
        <v>49</v>
      </c>
      <c r="G1" s="3" t="s">
        <v>50</v>
      </c>
      <c r="H1" s="3" t="s">
        <v>51</v>
      </c>
      <c r="I1" s="3" t="s">
        <v>668</v>
      </c>
      <c r="J1" s="3" t="s">
        <v>21</v>
      </c>
      <c r="K1" s="3" t="s">
        <v>669</v>
      </c>
      <c r="L1" s="3" t="s">
        <v>670</v>
      </c>
      <c r="M1" s="3" t="s">
        <v>671</v>
      </c>
      <c r="N1" s="3" t="s">
        <v>54</v>
      </c>
      <c r="O1" s="3" t="s">
        <v>672</v>
      </c>
    </row>
    <row r="2" ht="58.35" customHeight="1" spans="1:15">
      <c r="A2" s="6" t="s">
        <v>102</v>
      </c>
      <c r="B2" s="6" t="s">
        <v>22</v>
      </c>
      <c r="C2" s="6" t="s">
        <v>673</v>
      </c>
      <c r="D2" s="6" t="s">
        <v>674</v>
      </c>
      <c r="E2" s="6" t="s">
        <v>675</v>
      </c>
      <c r="F2" s="6" t="s">
        <v>676</v>
      </c>
      <c r="G2" s="6" t="s">
        <v>677</v>
      </c>
      <c r="H2" s="6" t="s">
        <v>678</v>
      </c>
      <c r="I2" s="6" t="s">
        <v>25</v>
      </c>
      <c r="J2" s="6" t="s">
        <v>29</v>
      </c>
      <c r="K2" s="6" t="s">
        <v>679</v>
      </c>
      <c r="L2" s="7" t="s">
        <v>93</v>
      </c>
      <c r="M2" s="6" t="s">
        <v>680</v>
      </c>
      <c r="N2" s="8" t="s">
        <v>37</v>
      </c>
      <c r="O2" s="6"/>
    </row>
    <row r="3" ht="72.75" customHeight="1" spans="1:15">
      <c r="A3" s="6" t="s">
        <v>77</v>
      </c>
      <c r="B3" s="6" t="s">
        <v>22</v>
      </c>
      <c r="C3" s="6" t="s">
        <v>681</v>
      </c>
      <c r="D3" s="6"/>
      <c r="E3" s="6" t="s">
        <v>682</v>
      </c>
      <c r="F3" s="6"/>
      <c r="G3" s="6" t="s">
        <v>683</v>
      </c>
      <c r="H3" s="6" t="s">
        <v>684</v>
      </c>
      <c r="I3" s="6" t="s">
        <v>29</v>
      </c>
      <c r="J3" s="6" t="s">
        <v>29</v>
      </c>
      <c r="K3" s="6" t="s">
        <v>685</v>
      </c>
      <c r="L3" s="7" t="s">
        <v>69</v>
      </c>
      <c r="M3" s="6" t="s">
        <v>680</v>
      </c>
      <c r="N3" s="8" t="s">
        <v>37</v>
      </c>
      <c r="O3" s="6" t="s">
        <v>686</v>
      </c>
    </row>
    <row r="4" ht="87.15" customHeight="1" spans="1:15">
      <c r="A4" s="6" t="s">
        <v>113</v>
      </c>
      <c r="B4" s="6" t="s">
        <v>28</v>
      </c>
      <c r="C4" s="6" t="s">
        <v>687</v>
      </c>
      <c r="D4" s="6" t="s">
        <v>674</v>
      </c>
      <c r="E4" s="6" t="s">
        <v>688</v>
      </c>
      <c r="F4" s="6" t="s">
        <v>689</v>
      </c>
      <c r="G4" s="6" t="s">
        <v>690</v>
      </c>
      <c r="H4" s="6" t="s">
        <v>691</v>
      </c>
      <c r="I4" s="6" t="s">
        <v>27</v>
      </c>
      <c r="J4" s="6" t="s">
        <v>25</v>
      </c>
      <c r="K4" s="6" t="s">
        <v>692</v>
      </c>
      <c r="L4" s="7" t="s">
        <v>693</v>
      </c>
      <c r="M4" s="6" t="s">
        <v>680</v>
      </c>
      <c r="N4" s="8" t="s">
        <v>37</v>
      </c>
      <c r="O4" s="6" t="s">
        <v>694</v>
      </c>
    </row>
    <row r="5" ht="58.35" customHeight="1" spans="1:15">
      <c r="A5" s="6" t="s">
        <v>142</v>
      </c>
      <c r="B5" s="6" t="s">
        <v>28</v>
      </c>
      <c r="C5" s="6" t="s">
        <v>695</v>
      </c>
      <c r="D5" s="6" t="s">
        <v>674</v>
      </c>
      <c r="E5" s="6" t="s">
        <v>696</v>
      </c>
      <c r="F5" s="6" t="s">
        <v>697</v>
      </c>
      <c r="G5" s="6" t="s">
        <v>698</v>
      </c>
      <c r="H5" s="6" t="s">
        <v>699</v>
      </c>
      <c r="I5" s="6" t="s">
        <v>27</v>
      </c>
      <c r="J5" s="6" t="s">
        <v>27</v>
      </c>
      <c r="K5" s="6" t="s">
        <v>700</v>
      </c>
      <c r="L5" s="7" t="s">
        <v>134</v>
      </c>
      <c r="M5" s="6" t="s">
        <v>680</v>
      </c>
      <c r="N5" s="8" t="s">
        <v>37</v>
      </c>
      <c r="O5" s="6"/>
    </row>
    <row r="6" ht="43.95" customHeight="1" spans="1:15">
      <c r="A6" s="6" t="s">
        <v>125</v>
      </c>
      <c r="B6" s="6" t="s">
        <v>28</v>
      </c>
      <c r="C6" s="6" t="s">
        <v>701</v>
      </c>
      <c r="D6" s="6" t="s">
        <v>674</v>
      </c>
      <c r="E6" s="6" t="s">
        <v>702</v>
      </c>
      <c r="F6" s="6" t="s">
        <v>703</v>
      </c>
      <c r="G6" s="6" t="s">
        <v>704</v>
      </c>
      <c r="H6" s="6" t="s">
        <v>705</v>
      </c>
      <c r="I6" s="6" t="s">
        <v>27</v>
      </c>
      <c r="J6" s="6" t="s">
        <v>27</v>
      </c>
      <c r="K6" s="6" t="s">
        <v>706</v>
      </c>
      <c r="L6" s="7" t="s">
        <v>122</v>
      </c>
      <c r="M6" s="6" t="s">
        <v>680</v>
      </c>
      <c r="N6" s="8" t="s">
        <v>37</v>
      </c>
      <c r="O6" s="6"/>
    </row>
    <row r="7" ht="72.75" customHeight="1" spans="1:15">
      <c r="A7" s="6" t="s">
        <v>174</v>
      </c>
      <c r="B7" s="6" t="s">
        <v>28</v>
      </c>
      <c r="C7" s="6" t="s">
        <v>707</v>
      </c>
      <c r="D7" s="6" t="s">
        <v>674</v>
      </c>
      <c r="E7" s="6" t="s">
        <v>708</v>
      </c>
      <c r="F7" s="6" t="s">
        <v>709</v>
      </c>
      <c r="G7" s="6" t="s">
        <v>710</v>
      </c>
      <c r="H7" s="6" t="s">
        <v>711</v>
      </c>
      <c r="I7" s="6" t="s">
        <v>27</v>
      </c>
      <c r="J7" s="6" t="s">
        <v>27</v>
      </c>
      <c r="K7" s="6" t="s">
        <v>712</v>
      </c>
      <c r="L7" s="7" t="s">
        <v>166</v>
      </c>
      <c r="M7" s="6" t="s">
        <v>680</v>
      </c>
      <c r="N7" s="8" t="s">
        <v>37</v>
      </c>
      <c r="O7" s="6"/>
    </row>
    <row r="8" ht="158.4" customHeight="1" spans="1:15">
      <c r="A8" s="6" t="s">
        <v>206</v>
      </c>
      <c r="B8" s="6" t="s">
        <v>26</v>
      </c>
      <c r="C8" s="6" t="s">
        <v>713</v>
      </c>
      <c r="D8" s="6" t="s">
        <v>674</v>
      </c>
      <c r="E8" s="6" t="s">
        <v>714</v>
      </c>
      <c r="F8" s="6" t="s">
        <v>715</v>
      </c>
      <c r="G8" s="6" t="s">
        <v>716</v>
      </c>
      <c r="H8" s="6" t="s">
        <v>717</v>
      </c>
      <c r="I8" s="6" t="s">
        <v>29</v>
      </c>
      <c r="J8" s="6" t="s">
        <v>29</v>
      </c>
      <c r="K8" s="6" t="s">
        <v>718</v>
      </c>
      <c r="L8" s="6" t="s">
        <v>198</v>
      </c>
      <c r="M8" s="6" t="s">
        <v>680</v>
      </c>
      <c r="N8" s="4" t="s">
        <v>37</v>
      </c>
      <c r="O8" s="6"/>
    </row>
    <row r="9" ht="57.6" customHeight="1" spans="1:15">
      <c r="A9" s="6" t="s">
        <v>213</v>
      </c>
      <c r="B9" s="6" t="s">
        <v>26</v>
      </c>
      <c r="C9" s="6" t="s">
        <v>719</v>
      </c>
      <c r="D9" s="6" t="s">
        <v>674</v>
      </c>
      <c r="E9" s="9" t="s">
        <v>210</v>
      </c>
      <c r="F9" s="6"/>
      <c r="G9" s="9" t="s">
        <v>211</v>
      </c>
      <c r="H9" s="9" t="s">
        <v>212</v>
      </c>
      <c r="I9" s="6" t="s">
        <v>29</v>
      </c>
      <c r="J9" s="6" t="s">
        <v>29</v>
      </c>
      <c r="K9" s="6" t="s">
        <v>720</v>
      </c>
      <c r="L9" s="6" t="s">
        <v>721</v>
      </c>
      <c r="M9" s="6" t="s">
        <v>680</v>
      </c>
      <c r="N9" s="4" t="s">
        <v>37</v>
      </c>
      <c r="O9" s="6" t="s">
        <v>722</v>
      </c>
    </row>
    <row r="10" ht="57.6" customHeight="1" spans="1:15">
      <c r="A10" s="6" t="s">
        <v>233</v>
      </c>
      <c r="B10" s="6" t="s">
        <v>26</v>
      </c>
      <c r="C10" s="9" t="s">
        <v>227</v>
      </c>
      <c r="D10" s="9" t="s">
        <v>228</v>
      </c>
      <c r="E10" s="9" t="s">
        <v>229</v>
      </c>
      <c r="F10" s="9" t="s">
        <v>230</v>
      </c>
      <c r="G10" s="9" t="s">
        <v>231</v>
      </c>
      <c r="H10" s="9" t="s">
        <v>232</v>
      </c>
      <c r="I10" s="6" t="s">
        <v>29</v>
      </c>
      <c r="J10" s="6" t="s">
        <v>25</v>
      </c>
      <c r="K10" s="6" t="s">
        <v>723</v>
      </c>
      <c r="L10" s="6" t="s">
        <v>724</v>
      </c>
      <c r="M10" s="6" t="s">
        <v>680</v>
      </c>
      <c r="N10" s="4" t="s">
        <v>37</v>
      </c>
      <c r="O10" s="6"/>
    </row>
    <row r="11" ht="57.6" customHeight="1" spans="1:15">
      <c r="A11" s="6" t="s">
        <v>274</v>
      </c>
      <c r="B11" s="6" t="s">
        <v>30</v>
      </c>
      <c r="C11" s="9" t="s">
        <v>725</v>
      </c>
      <c r="D11" s="9" t="s">
        <v>269</v>
      </c>
      <c r="E11" s="9" t="s">
        <v>270</v>
      </c>
      <c r="F11" s="9" t="s">
        <v>271</v>
      </c>
      <c r="G11" s="9" t="s">
        <v>272</v>
      </c>
      <c r="H11" s="9" t="s">
        <v>273</v>
      </c>
      <c r="I11" s="6" t="s">
        <v>29</v>
      </c>
      <c r="J11" s="6" t="s">
        <v>25</v>
      </c>
      <c r="K11" s="6" t="s">
        <v>726</v>
      </c>
      <c r="L11" s="6" t="s">
        <v>727</v>
      </c>
      <c r="M11" s="6" t="s">
        <v>680</v>
      </c>
      <c r="N11" s="4" t="s">
        <v>37</v>
      </c>
      <c r="O11" s="6"/>
    </row>
    <row r="12" ht="57.6" customHeight="1" spans="1:15">
      <c r="A12" s="6" t="s">
        <v>331</v>
      </c>
      <c r="B12" s="6" t="s">
        <v>30</v>
      </c>
      <c r="C12" s="9" t="s">
        <v>325</v>
      </c>
      <c r="D12" s="9" t="s">
        <v>326</v>
      </c>
      <c r="E12" s="9" t="s">
        <v>327</v>
      </c>
      <c r="F12" s="9" t="s">
        <v>328</v>
      </c>
      <c r="G12" s="9" t="s">
        <v>329</v>
      </c>
      <c r="H12" s="9" t="s">
        <v>330</v>
      </c>
      <c r="I12" s="6" t="s">
        <v>29</v>
      </c>
      <c r="J12" s="6" t="s">
        <v>29</v>
      </c>
      <c r="K12" s="6" t="s">
        <v>728</v>
      </c>
      <c r="L12" s="6" t="s">
        <v>729</v>
      </c>
      <c r="M12" s="6" t="s">
        <v>680</v>
      </c>
      <c r="N12" s="4" t="s">
        <v>37</v>
      </c>
      <c r="O12" s="6"/>
    </row>
    <row r="13" ht="72" customHeight="1" spans="1:15">
      <c r="A13" s="6" t="s">
        <v>381</v>
      </c>
      <c r="B13" s="6" t="s">
        <v>30</v>
      </c>
      <c r="C13" s="9" t="s">
        <v>375</v>
      </c>
      <c r="D13" s="9" t="s">
        <v>376</v>
      </c>
      <c r="E13" s="9" t="s">
        <v>377</v>
      </c>
      <c r="F13" s="9" t="s">
        <v>378</v>
      </c>
      <c r="G13" s="9" t="s">
        <v>379</v>
      </c>
      <c r="H13" s="9" t="s">
        <v>380</v>
      </c>
      <c r="I13" s="6" t="s">
        <v>27</v>
      </c>
      <c r="J13" s="6" t="s">
        <v>27</v>
      </c>
      <c r="K13" s="6" t="s">
        <v>730</v>
      </c>
      <c r="L13" s="6" t="s">
        <v>731</v>
      </c>
      <c r="M13" s="6" t="s">
        <v>680</v>
      </c>
      <c r="N13" s="4" t="s">
        <v>37</v>
      </c>
      <c r="O13" s="6"/>
    </row>
    <row r="14" ht="72" customHeight="1" spans="1:15">
      <c r="A14" s="6" t="s">
        <v>391</v>
      </c>
      <c r="B14" s="6" t="s">
        <v>30</v>
      </c>
      <c r="C14" s="9" t="s">
        <v>384</v>
      </c>
      <c r="D14" s="9" t="s">
        <v>385</v>
      </c>
      <c r="E14" s="9" t="s">
        <v>386</v>
      </c>
      <c r="F14" s="9" t="s">
        <v>387</v>
      </c>
      <c r="G14" s="9" t="s">
        <v>388</v>
      </c>
      <c r="H14" s="9" t="s">
        <v>389</v>
      </c>
      <c r="I14" s="6" t="s">
        <v>25</v>
      </c>
      <c r="J14" s="6" t="s">
        <v>25</v>
      </c>
      <c r="K14" s="6" t="s">
        <v>732</v>
      </c>
      <c r="L14" s="6" t="s">
        <v>733</v>
      </c>
      <c r="M14" s="6" t="s">
        <v>680</v>
      </c>
      <c r="N14" s="4" t="s">
        <v>37</v>
      </c>
      <c r="O14" s="6"/>
    </row>
    <row r="15" ht="57.6" customHeight="1" spans="1:15">
      <c r="A15" s="6" t="s">
        <v>734</v>
      </c>
      <c r="B15" s="6" t="s">
        <v>24</v>
      </c>
      <c r="C15" s="9" t="s">
        <v>452</v>
      </c>
      <c r="D15" s="9" t="s">
        <v>453</v>
      </c>
      <c r="E15" s="9" t="s">
        <v>454</v>
      </c>
      <c r="F15" s="9" t="s">
        <v>455</v>
      </c>
      <c r="G15" s="9" t="s">
        <v>456</v>
      </c>
      <c r="H15" s="9" t="s">
        <v>457</v>
      </c>
      <c r="I15" s="6" t="s">
        <v>25</v>
      </c>
      <c r="J15" s="6" t="s">
        <v>25</v>
      </c>
      <c r="K15" s="6" t="s">
        <v>735</v>
      </c>
      <c r="L15" s="6" t="s">
        <v>736</v>
      </c>
      <c r="M15" s="6" t="s">
        <v>680</v>
      </c>
      <c r="N15" s="4" t="s">
        <v>37</v>
      </c>
      <c r="O15" s="6"/>
    </row>
    <row r="16" ht="43.2" customHeight="1" spans="1:15">
      <c r="A16" s="6" t="s">
        <v>737</v>
      </c>
      <c r="B16" s="6" t="s">
        <v>24</v>
      </c>
      <c r="C16" s="9" t="s">
        <v>442</v>
      </c>
      <c r="D16" s="9" t="s">
        <v>443</v>
      </c>
      <c r="E16" s="9" t="s">
        <v>444</v>
      </c>
      <c r="F16" s="9" t="s">
        <v>445</v>
      </c>
      <c r="G16" s="9" t="s">
        <v>446</v>
      </c>
      <c r="H16" s="9" t="s">
        <v>447</v>
      </c>
      <c r="I16" s="6" t="s">
        <v>25</v>
      </c>
      <c r="J16" s="6" t="s">
        <v>25</v>
      </c>
      <c r="K16" s="6" t="s">
        <v>738</v>
      </c>
      <c r="L16" s="6" t="s">
        <v>739</v>
      </c>
      <c r="M16" s="6" t="s">
        <v>680</v>
      </c>
      <c r="N16" s="4" t="s">
        <v>37</v>
      </c>
      <c r="O16" s="6"/>
    </row>
    <row r="17" ht="86.4" customHeight="1" spans="1:15">
      <c r="A17" s="6" t="s">
        <v>364</v>
      </c>
      <c r="B17" s="9" t="s">
        <v>30</v>
      </c>
      <c r="C17" s="9" t="s">
        <v>358</v>
      </c>
      <c r="D17" s="9" t="s">
        <v>359</v>
      </c>
      <c r="E17" s="9" t="s">
        <v>360</v>
      </c>
      <c r="F17" s="9" t="s">
        <v>361</v>
      </c>
      <c r="G17" s="9" t="s">
        <v>362</v>
      </c>
      <c r="H17" s="9" t="s">
        <v>740</v>
      </c>
      <c r="I17" s="6" t="s">
        <v>29</v>
      </c>
      <c r="J17" s="6" t="s">
        <v>29</v>
      </c>
      <c r="K17" s="6" t="s">
        <v>741</v>
      </c>
      <c r="L17" s="6" t="s">
        <v>742</v>
      </c>
      <c r="M17" s="6" t="s">
        <v>680</v>
      </c>
      <c r="N17" s="4" t="s">
        <v>37</v>
      </c>
      <c r="O17" s="6"/>
    </row>
    <row r="18" ht="72" customHeight="1" spans="1:15">
      <c r="A18" s="6" t="s">
        <v>497</v>
      </c>
      <c r="B18" s="9" t="s">
        <v>39</v>
      </c>
      <c r="C18" s="9" t="s">
        <v>491</v>
      </c>
      <c r="D18" s="9" t="s">
        <v>492</v>
      </c>
      <c r="E18" s="9" t="s">
        <v>493</v>
      </c>
      <c r="F18" s="9" t="s">
        <v>494</v>
      </c>
      <c r="G18" s="9" t="s">
        <v>495</v>
      </c>
      <c r="H18" s="9" t="s">
        <v>496</v>
      </c>
      <c r="I18" s="6" t="s">
        <v>29</v>
      </c>
      <c r="J18" s="6" t="s">
        <v>29</v>
      </c>
      <c r="K18" s="6" t="s">
        <v>743</v>
      </c>
      <c r="L18" s="6" t="s">
        <v>744</v>
      </c>
      <c r="M18" s="6" t="s">
        <v>680</v>
      </c>
      <c r="N18" s="4" t="s">
        <v>37</v>
      </c>
      <c r="O18" s="6"/>
    </row>
    <row r="19" ht="43.2" customHeight="1" spans="1:15">
      <c r="A19" s="6" t="s">
        <v>518</v>
      </c>
      <c r="B19" s="9" t="s">
        <v>39</v>
      </c>
      <c r="C19" s="9" t="s">
        <v>514</v>
      </c>
      <c r="D19" s="9" t="s">
        <v>515</v>
      </c>
      <c r="E19" s="9" t="s">
        <v>509</v>
      </c>
      <c r="F19" s="9" t="s">
        <v>516</v>
      </c>
      <c r="G19" s="9" t="s">
        <v>504</v>
      </c>
      <c r="H19" s="9" t="s">
        <v>517</v>
      </c>
      <c r="I19" s="6" t="s">
        <v>29</v>
      </c>
      <c r="J19" s="6" t="s">
        <v>29</v>
      </c>
      <c r="K19" s="6" t="s">
        <v>745</v>
      </c>
      <c r="L19" s="6" t="s">
        <v>746</v>
      </c>
      <c r="M19" s="6" t="s">
        <v>680</v>
      </c>
      <c r="N19" s="4" t="s">
        <v>37</v>
      </c>
      <c r="O19" s="6"/>
    </row>
    <row r="20" ht="57.6" customHeight="1" spans="1:15">
      <c r="A20" s="6" t="s">
        <v>551</v>
      </c>
      <c r="B20" s="6" t="s">
        <v>40</v>
      </c>
      <c r="C20" s="9" t="s">
        <v>545</v>
      </c>
      <c r="D20" s="9" t="s">
        <v>546</v>
      </c>
      <c r="E20" s="9" t="s">
        <v>547</v>
      </c>
      <c r="F20" s="9" t="s">
        <v>548</v>
      </c>
      <c r="G20" s="9" t="s">
        <v>549</v>
      </c>
      <c r="H20" s="9" t="s">
        <v>550</v>
      </c>
      <c r="I20" s="6" t="s">
        <v>29</v>
      </c>
      <c r="J20" s="6" t="s">
        <v>29</v>
      </c>
      <c r="K20" s="6" t="s">
        <v>747</v>
      </c>
      <c r="L20" s="6" t="s">
        <v>748</v>
      </c>
      <c r="M20" s="6" t="s">
        <v>680</v>
      </c>
      <c r="N20" s="4" t="s">
        <v>37</v>
      </c>
      <c r="O20" s="6"/>
    </row>
    <row r="21" ht="57.6" customHeight="1" spans="1:15">
      <c r="A21" s="6" t="s">
        <v>635</v>
      </c>
      <c r="B21" s="6" t="s">
        <v>34</v>
      </c>
      <c r="C21" s="9" t="s">
        <v>629</v>
      </c>
      <c r="D21" s="9" t="s">
        <v>630</v>
      </c>
      <c r="E21" s="9" t="s">
        <v>631</v>
      </c>
      <c r="F21" s="9" t="s">
        <v>632</v>
      </c>
      <c r="G21" s="9" t="s">
        <v>633</v>
      </c>
      <c r="H21" s="9" t="s">
        <v>634</v>
      </c>
      <c r="I21" s="6" t="s">
        <v>29</v>
      </c>
      <c r="J21" s="6" t="s">
        <v>29</v>
      </c>
      <c r="K21" s="6" t="s">
        <v>749</v>
      </c>
      <c r="L21" s="6" t="s">
        <v>627</v>
      </c>
      <c r="M21" s="6" t="s">
        <v>680</v>
      </c>
      <c r="N21" s="4" t="s">
        <v>37</v>
      </c>
      <c r="O21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A1:B6"/>
    </sheetView>
  </sheetViews>
  <sheetFormatPr defaultColWidth="8.88888888888889" defaultRowHeight="14.4" outlineLevelRow="5" outlineLevelCol="1"/>
  <cols>
    <col min="2" max="2" width="79.6666666666667" customWidth="1"/>
  </cols>
  <sheetData>
    <row r="1" ht="31.95" customHeight="1" spans="1:2">
      <c r="A1" s="3" t="s">
        <v>750</v>
      </c>
      <c r="B1" s="3" t="s">
        <v>751</v>
      </c>
    </row>
    <row r="2" spans="1:2">
      <c r="A2" s="4">
        <v>1</v>
      </c>
      <c r="B2" s="4" t="s">
        <v>752</v>
      </c>
    </row>
    <row r="3" spans="1:2">
      <c r="A3" s="4">
        <v>2</v>
      </c>
      <c r="B3" s="4" t="s">
        <v>753</v>
      </c>
    </row>
    <row r="4" spans="1:2">
      <c r="A4" s="4">
        <v>3</v>
      </c>
      <c r="B4" s="4" t="s">
        <v>754</v>
      </c>
    </row>
    <row r="5" spans="1:2">
      <c r="A5" s="4">
        <v>4</v>
      </c>
      <c r="B5" s="4" t="s">
        <v>755</v>
      </c>
    </row>
    <row r="6" spans="1:2">
      <c r="A6" s="4">
        <v>5</v>
      </c>
      <c r="B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A3"/>
    </sheetView>
  </sheetViews>
  <sheetFormatPr defaultColWidth="24.4444444444444" defaultRowHeight="14.4" outlineLevelRow="1" outlineLevelCol="2"/>
  <cols>
    <col min="1" max="1" width="24.4444444444444" customWidth="1"/>
    <col min="2" max="2" width="47.1111111111111" customWidth="1"/>
    <col min="3" max="3" width="59.6666666666667" customWidth="1"/>
    <col min="4" max="16384" width="24.4444444444444" customWidth="1"/>
  </cols>
  <sheetData>
    <row r="1" ht="31.95" customHeight="1" spans="1:3">
      <c r="A1" s="1" t="s">
        <v>756</v>
      </c>
      <c r="B1" s="2" t="s">
        <v>757</v>
      </c>
      <c r="C1" s="2" t="s">
        <v>758</v>
      </c>
    </row>
    <row r="2" spans="1:3">
      <c r="A2">
        <v>1</v>
      </c>
      <c r="B2" t="s">
        <v>759</v>
      </c>
      <c r="C2" t="s">
        <v>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Overall Summary</vt:lpstr>
      <vt:lpstr>Functional Test Cases</vt:lpstr>
      <vt:lpstr>Bugs</vt:lpstr>
      <vt:lpstr>Suggessions</vt:lpstr>
      <vt:lpstr>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Codoid</cp:lastModifiedBy>
  <dcterms:created xsi:type="dcterms:W3CDTF">2026-10-27T10:52:00Z</dcterms:created>
  <dcterms:modified xsi:type="dcterms:W3CDTF">2026-10-28T05:01:45Z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89EC25DEF7BB4DC7BA873F744BFE9CDC_12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